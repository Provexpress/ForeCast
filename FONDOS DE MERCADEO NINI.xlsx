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vexpress-my.sharepoint.com/personal/especialista_preventa_provexpress_com_co/Documents/Downloads/"/>
    </mc:Choice>
  </mc:AlternateContent>
  <xr:revisionPtr revIDLastSave="478" documentId="8_{EA96C668-A60E-4CF6-9974-1621191445C3}" xr6:coauthVersionLast="47" xr6:coauthVersionMax="47" xr10:uidLastSave="{5D3B22C4-405A-4248-8588-9DE82F57A8D8}"/>
  <bookViews>
    <workbookView xWindow="-120" yWindow="-120" windowWidth="29040" windowHeight="15720" activeTab="4" xr2:uid="{CC83D06A-5CD9-407A-9787-D212F89DC9A4}"/>
  </bookViews>
  <sheets>
    <sheet name="Hp" sheetId="1" r:id="rId1"/>
    <sheet name="Dell" sheetId="2" r:id="rId2"/>
    <sheet name="Lenovo" sheetId="3" r:id="rId3"/>
    <sheet name="Intel" sheetId="4" r:id="rId4"/>
    <sheet name="Microsoft" sheetId="5" r:id="rId5"/>
    <sheet name="Cisco" sheetId="6" r:id="rId6"/>
    <sheet name="Champion" sheetId="8" r:id="rId7"/>
    <sheet name="Total Fondos 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" i="7" l="1"/>
  <c r="J19" i="7"/>
  <c r="J20" i="7"/>
  <c r="J21" i="7"/>
  <c r="J23" i="7"/>
  <c r="J24" i="7"/>
  <c r="J25" i="7"/>
  <c r="H13" i="7"/>
  <c r="H12" i="7"/>
  <c r="K12" i="7" s="1"/>
  <c r="I12" i="7"/>
  <c r="J12" i="7"/>
  <c r="H5" i="7"/>
  <c r="J5" i="7" s="1"/>
  <c r="I5" i="7"/>
  <c r="H6" i="7"/>
  <c r="I6" i="7"/>
  <c r="J6" i="7"/>
  <c r="K6" i="7"/>
  <c r="H7" i="7"/>
  <c r="I7" i="7"/>
  <c r="J7" i="7"/>
  <c r="K7" i="7"/>
  <c r="H8" i="7"/>
  <c r="J8" i="7" s="1"/>
  <c r="I8" i="7"/>
  <c r="H9" i="7"/>
  <c r="I9" i="7"/>
  <c r="J9" i="7"/>
  <c r="K9" i="7"/>
  <c r="H10" i="7"/>
  <c r="I10" i="7"/>
  <c r="J10" i="7"/>
  <c r="K10" i="7"/>
  <c r="H11" i="7"/>
  <c r="J11" i="7" s="1"/>
  <c r="I11" i="7"/>
  <c r="C5" i="6"/>
  <c r="E19" i="8"/>
  <c r="E20" i="8"/>
  <c r="E21" i="8"/>
  <c r="C16" i="8"/>
  <c r="E16" i="8"/>
  <c r="C15" i="8"/>
  <c r="E15" i="8"/>
  <c r="C14" i="8"/>
  <c r="E14" i="8"/>
  <c r="E10" i="8"/>
  <c r="E11" i="8"/>
  <c r="E12" i="8"/>
  <c r="E13" i="8"/>
  <c r="D6" i="8"/>
  <c r="D15" i="5"/>
  <c r="D16" i="5"/>
  <c r="D17" i="5"/>
  <c r="D18" i="5"/>
  <c r="D12" i="5"/>
  <c r="B7" i="5"/>
  <c r="D7" i="5"/>
  <c r="D5" i="5"/>
  <c r="D6" i="5"/>
  <c r="D15" i="6"/>
  <c r="D16" i="6"/>
  <c r="D17" i="6"/>
  <c r="D10" i="6"/>
  <c r="D11" i="6"/>
  <c r="D12" i="6" s="1"/>
  <c r="D18" i="6" s="1"/>
  <c r="D19" i="6" s="1"/>
  <c r="B6" i="6"/>
  <c r="D6" i="6"/>
  <c r="D16" i="4"/>
  <c r="D17" i="4"/>
  <c r="D18" i="4"/>
  <c r="D19" i="4"/>
  <c r="D20" i="4"/>
  <c r="D21" i="4" s="1"/>
  <c r="D22" i="4" s="1"/>
  <c r="D13" i="4"/>
  <c r="D12" i="4"/>
  <c r="B6" i="4"/>
  <c r="D6" i="4"/>
  <c r="D5" i="4"/>
  <c r="D20" i="3"/>
  <c r="D21" i="3"/>
  <c r="D22" i="3"/>
  <c r="D23" i="3"/>
  <c r="D24" i="3"/>
  <c r="D25" i="3"/>
  <c r="D26" i="3" s="1"/>
  <c r="D17" i="3"/>
  <c r="D16" i="3"/>
  <c r="B9" i="3"/>
  <c r="D9" i="3"/>
  <c r="B8" i="3"/>
  <c r="D8" i="3"/>
  <c r="D5" i="3"/>
  <c r="D6" i="3"/>
  <c r="D7" i="3"/>
  <c r="D23" i="2"/>
  <c r="D24" i="2"/>
  <c r="D25" i="2"/>
  <c r="D26" i="2"/>
  <c r="D27" i="2"/>
  <c r="D28" i="2"/>
  <c r="D29" i="2" s="1"/>
  <c r="D20" i="2"/>
  <c r="D19" i="2"/>
  <c r="B11" i="2"/>
  <c r="D11" i="2"/>
  <c r="D5" i="2"/>
  <c r="D6" i="2"/>
  <c r="D7" i="2"/>
  <c r="D8" i="2"/>
  <c r="B9" i="2"/>
  <c r="D9" i="2"/>
  <c r="D10" i="2"/>
  <c r="D32" i="1"/>
  <c r="D33" i="1"/>
  <c r="D34" i="1"/>
  <c r="D35" i="1"/>
  <c r="D36" i="1"/>
  <c r="D37" i="1"/>
  <c r="D38" i="1"/>
  <c r="D29" i="1"/>
  <c r="D28" i="1"/>
  <c r="B14" i="1"/>
  <c r="D14" i="1"/>
  <c r="D5" i="1"/>
  <c r="D6" i="1"/>
  <c r="D7" i="1"/>
  <c r="D8" i="1"/>
  <c r="D9" i="1"/>
  <c r="D10" i="1"/>
  <c r="D11" i="1"/>
  <c r="D12" i="1"/>
  <c r="D13" i="1"/>
  <c r="K11" i="7" l="1"/>
  <c r="K8" i="7"/>
  <c r="K5" i="7"/>
</calcChain>
</file>

<file path=xl/sharedStrings.xml><?xml version="1.0" encoding="utf-8"?>
<sst xmlns="http://schemas.openxmlformats.org/spreadsheetml/2006/main" count="309" uniqueCount="141">
  <si>
    <t>HP</t>
  </si>
  <si>
    <t>USD</t>
  </si>
  <si>
    <t>COP</t>
  </si>
  <si>
    <t>26Q1</t>
  </si>
  <si>
    <t>26Q2</t>
  </si>
  <si>
    <t>26Q3</t>
  </si>
  <si>
    <t>Concurso Supplies</t>
  </si>
  <si>
    <t>Q3</t>
  </si>
  <si>
    <t>Q4</t>
  </si>
  <si>
    <t>Q1</t>
  </si>
  <si>
    <t>Q2</t>
  </si>
  <si>
    <t>17 de julio 2026</t>
  </si>
  <si>
    <t>24 de abril 2026</t>
  </si>
  <si>
    <t>H1</t>
  </si>
  <si>
    <t>TRM</t>
  </si>
  <si>
    <t>Hp</t>
  </si>
  <si>
    <t>Dell</t>
  </si>
  <si>
    <t>Lenovo</t>
  </si>
  <si>
    <t>Cisco</t>
  </si>
  <si>
    <t>Microsoft</t>
  </si>
  <si>
    <t>Ingreso</t>
  </si>
  <si>
    <t>Saldo</t>
  </si>
  <si>
    <t>Marca</t>
  </si>
  <si>
    <t>LOL</t>
  </si>
  <si>
    <t>Nintendo</t>
  </si>
  <si>
    <t>Hoja</t>
  </si>
  <si>
    <t>Celda</t>
  </si>
  <si>
    <t>Observación</t>
  </si>
  <si>
    <t>Intel</t>
  </si>
  <si>
    <t>C12</t>
  </si>
  <si>
    <t>Champion</t>
  </si>
  <si>
    <t>FONDOS HP</t>
  </si>
  <si>
    <t>1. INGRESO DE FONDOS</t>
  </si>
  <si>
    <t>Periodo</t>
  </si>
  <si>
    <t>Total ingreso</t>
  </si>
  <si>
    <t>2. SALIDAS (EJECUCIÓN)</t>
  </si>
  <si>
    <t>Tipo</t>
  </si>
  <si>
    <t>Concepto</t>
  </si>
  <si>
    <t>Fecha / Cupos</t>
  </si>
  <si>
    <t>Evento</t>
  </si>
  <si>
    <t>HP Suministros - Evento</t>
  </si>
  <si>
    <t>Liga Z - Capacitación</t>
  </si>
  <si>
    <t>HP Workstation - Hotel Hilton</t>
  </si>
  <si>
    <t>HP Nueva era de la tecnología - Hotel</t>
  </si>
  <si>
    <t>Incentivo</t>
  </si>
  <si>
    <t>Concurso venta portafolio HP</t>
  </si>
  <si>
    <t>Campaña Suministros</t>
  </si>
  <si>
    <t>Camisetas (obsequio gerencia comercial y direcciones)</t>
  </si>
  <si>
    <t>Incentivo Suministros (ganadora Dilma - bono Adidas)</t>
  </si>
  <si>
    <t>Rio</t>
  </si>
  <si>
    <t>Rio (20 al 24 mayo) - cupos @ $6.500.000</t>
  </si>
  <si>
    <t>Total salida</t>
  </si>
  <si>
    <t>3. RESUMEN</t>
  </si>
  <si>
    <t>Total ingreso (COP)</t>
  </si>
  <si>
    <t>Salidas - Eventos</t>
  </si>
  <si>
    <t>Salidas - Incentivos</t>
  </si>
  <si>
    <t>Salidas - Rio</t>
  </si>
  <si>
    <t>Total salida (COP)</t>
  </si>
  <si>
    <t>SALDO (COP)</t>
  </si>
  <si>
    <t>Comisión Dir. Mercadeo (10%)</t>
  </si>
  <si>
    <t>Notas: TRM estándar 3.500. En la versión anterior los encabezados de evento/incentivo estaban corridos una columna respecto a sus montos; aquí cada monto queda junto a su concepto.</t>
  </si>
  <si>
    <t>FONDOS DELL</t>
  </si>
  <si>
    <t>Vigencia / Observación</t>
  </si>
  <si>
    <t>2026 Q3</t>
  </si>
  <si>
    <t>Agosto - Octubre</t>
  </si>
  <si>
    <t>2026 Q4</t>
  </si>
  <si>
    <t>Noviembre 1 - Enero 30 (revisar: debería cerrar en enero 2027)</t>
  </si>
  <si>
    <t>2027 Q1</t>
  </si>
  <si>
    <t>Enero 31 - Mayo 1</t>
  </si>
  <si>
    <t>2027 Q2</t>
  </si>
  <si>
    <t>Mayo 2 - Julio 31</t>
  </si>
  <si>
    <t>Subtotal plataformas</t>
  </si>
  <si>
    <t>Fondos Proposal</t>
  </si>
  <si>
    <t>Generación de demanda; se factura a nombre de Dell</t>
  </si>
  <si>
    <t>Infraestructura</t>
  </si>
  <si>
    <t>Tecnología cómputo</t>
  </si>
  <si>
    <t>Televisor, Apple TV, bonos H&amp;M</t>
  </si>
  <si>
    <t>Play Station</t>
  </si>
  <si>
    <t>Notas: el ingreso incluye 'Fondos Proposal' (USD 9.500) que aún no se ejecuta; si se excluye, el saldo disponible real baja en $33.250.000.</t>
  </si>
  <si>
    <t>FONDOS LENOVO</t>
  </si>
  <si>
    <t>Estado</t>
  </si>
  <si>
    <t>Confirmado</t>
  </si>
  <si>
    <t>Sin factura de Provexpress - pendiente por ejecutar</t>
  </si>
  <si>
    <t>Total confirmado</t>
  </si>
  <si>
    <t>Total con Q4 pendiente</t>
  </si>
  <si>
    <t>Lenovo Legion Go S</t>
  </si>
  <si>
    <t>Bono María Paola Briceño</t>
  </si>
  <si>
    <t>Total ingreso confirmado (COP)</t>
  </si>
  <si>
    <t>Notas: el Q4 (USD 3.349 = $11.721.500) NO entra al total confirmado porque no tiene factura de Provexpress. El encabezado original decía '1,5 cupos' y el cálculo coincide.</t>
  </si>
  <si>
    <t>FONDOS INTEL</t>
  </si>
  <si>
    <t>Evento (USD 490)</t>
  </si>
  <si>
    <t>Capacitación Rosario - código de vestimenta</t>
  </si>
  <si>
    <t>Encabezado original decía 2 cupos</t>
  </si>
  <si>
    <t>Notas: el encabezado original decía '2 cupos' de Rio pero el cálculo usaba 1,5. Se dejó 1,5 (celda C12 editable) para no alterar el saldo; si son 2 cupos, cambie C12 y el saldo pasará a -$3.250.000.</t>
  </si>
  <si>
    <t>FONDOS CISCO</t>
  </si>
  <si>
    <t>Único</t>
  </si>
  <si>
    <t>Encabezado original decía 1 cupo</t>
  </si>
  <si>
    <t>Otro</t>
  </si>
  <si>
    <t>Saldo cruza negocio María Paola</t>
  </si>
  <si>
    <t>Salidas - Otros</t>
  </si>
  <si>
    <t>Notas: la TRM 3.333,33 estaba implícita (el COP era un valor fijo). Aquí queda explícita en C5. Si se usara TRM 3.500 el ingreso sería $10.500.000 (+$500.000).</t>
  </si>
  <si>
    <t>FONDOS MICROSOFT</t>
  </si>
  <si>
    <t>Origen</t>
  </si>
  <si>
    <t>TRM asumida 3.500 - confirmar</t>
  </si>
  <si>
    <t>INGRAM</t>
  </si>
  <si>
    <t>Sin ejecuciones registradas</t>
  </si>
  <si>
    <t>Notas: la hoja original solo tenía los USD sin TRM ni COP. Se aplicó TRM 3.500 (la estándar del libro) - CONFIRMAR. No hay salidas registradas, por lo que todo el fondo figura disponible.</t>
  </si>
  <si>
    <t>CHAMPION (HP + DELL)</t>
  </si>
  <si>
    <t>Sin ingreso de fondos registrado</t>
  </si>
  <si>
    <t>DELL</t>
  </si>
  <si>
    <t>Subtotal HP</t>
  </si>
  <si>
    <t>Subtotal DELL</t>
  </si>
  <si>
    <t>Notas: Champion registra un gasto de USD 8.000 ($28.000.000) sin ningún ingreso de fondos asociado; por eso el saldo es negativo. La TRM 3.500 estaba incrustada en la fórmula y ahora está en celdas editables (D10:D13).</t>
  </si>
  <si>
    <t>TRM implícita (COP/USD), distinta a 3.500 de las demás marcas</t>
  </si>
  <si>
    <t>CONSOLIDADO DE FONDOS POR MARCA</t>
  </si>
  <si>
    <t>Salida</t>
  </si>
  <si>
    <t>% Ejecutado</t>
  </si>
  <si>
    <t>TOTAL</t>
  </si>
  <si>
    <t>Comisión Dir. Mercadeo (10% del saldo)</t>
  </si>
  <si>
    <t>OBSERVACIONES Y AJUSTES REALIZADOS</t>
  </si>
  <si>
    <t>Impacto (COP)</t>
  </si>
  <si>
    <t>Todas</t>
  </si>
  <si>
    <t>-</t>
  </si>
  <si>
    <t>Se estandarizó la estructura: 1. Ingreso de fondos / 2. Salidas / 3. Resumen. Azul = dato editable, negro = fórmula.</t>
  </si>
  <si>
    <t>D5:D6</t>
  </si>
  <si>
    <t>Antes solo tenía USD sin TRM ni COP; se aplicó TRM 3.500 y ahora entra al consolidado</t>
  </si>
  <si>
    <t>D8</t>
  </si>
  <si>
    <t>El Q4 (sin factura Provexpress) se excluye del ingreso confirmado y se muestra aparte en D9</t>
  </si>
  <si>
    <t>E16</t>
  </si>
  <si>
    <t>Gasto de USD 8.000 sin ingreso de fondos asociado; genera saldo negativo</t>
  </si>
  <si>
    <t>D10</t>
  </si>
  <si>
    <t>El ingreso incluye 'Fondos Proposal' (USD 9.500) aún no ejecutado</t>
  </si>
  <si>
    <t>E6</t>
  </si>
  <si>
    <t>Vigencia Q4 dice 'enero 30' pero por secuencia debería cerrar en enero 2027</t>
  </si>
  <si>
    <t>Encabezado original decía 2 cupos de Rio pero calculaba 1,5; se dejó 1,5 (editable)</t>
  </si>
  <si>
    <t>C10</t>
  </si>
  <si>
    <t>Encabezado original decía 1 cupo de Rio pero calculaba 1,5; se dejó 1,5 (editable)</t>
  </si>
  <si>
    <t>C5</t>
  </si>
  <si>
    <t>TRM implícita 3.333,33 vs 3.500 usada en las demás marcas</t>
  </si>
  <si>
    <t>A18:D28</t>
  </si>
  <si>
    <t>Los conceptos de evento/incentivo estaban corridos una columna respecto a sus montos; se realinearon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</si>
</sst>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"/>
    <numFmt numFmtId="165" formatCode="&quot;$&quot;\ #,##0"/>
    <numFmt numFmtId="166" formatCode="0.0"/>
    <numFmt numFmtId="167" formatCode="#,#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44" fontId="0" fillId="0" borderId="0" xfId="1" applyFont="1"/>
    <xf numFmtId="164" fontId="0" fillId="0" borderId="0" xfId="0" applyNumberFormat="1"/>
    <xf numFmtId="0" fontId="3" fillId="0" borderId="0" xfId="0" applyFont="1"/>
    <xf numFmtId="0" fontId="4" fillId="3" borderId="0" xfId="0" applyFont="1" applyFill="1"/>
    <xf numFmtId="0" fontId="4" fillId="3" borderId="0" xfId="0" applyFont="1" applyFill="1"/>
    <xf numFmtId="0" fontId="2" fillId="2" borderId="1" xfId="0" applyFont="1" applyFill="1" applyBorder="1"/>
    <xf numFmtId="0" fontId="2" fillId="4" borderId="2" xfId="0" applyFont="1" applyFill="1" applyBorder="1"/>
    <xf numFmtId="0" fontId="2" fillId="5" borderId="0" xfId="0" applyFont="1" applyFill="1"/>
    <xf numFmtId="0" fontId="5" fillId="0" borderId="0" xfId="0" applyFont="1"/>
    <xf numFmtId="164" fontId="2" fillId="4" borderId="2" xfId="0" applyNumberFormat="1" applyFont="1" applyFill="1" applyBorder="1"/>
    <xf numFmtId="165" fontId="0" fillId="0" borderId="0" xfId="0" applyNumberFormat="1"/>
    <xf numFmtId="165" fontId="2" fillId="4" borderId="2" xfId="0" applyNumberFormat="1" applyFont="1" applyFill="1" applyBorder="1"/>
    <xf numFmtId="165" fontId="2" fillId="5" borderId="0" xfId="0" applyNumberFormat="1" applyFont="1" applyFill="1"/>
    <xf numFmtId="164" fontId="6" fillId="0" borderId="0" xfId="0" applyNumberFormat="1" applyFont="1"/>
    <xf numFmtId="3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4" fillId="3" borderId="0" xfId="0" applyFont="1" applyFill="1" applyBorder="1"/>
    <xf numFmtId="3" fontId="2" fillId="4" borderId="2" xfId="0" applyNumberFormat="1" applyFont="1" applyFill="1" applyBorder="1"/>
    <xf numFmtId="166" fontId="6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4" fontId="7" fillId="0" borderId="0" xfId="0" applyNumberFormat="1" applyFont="1"/>
    <xf numFmtId="0" fontId="2" fillId="5" borderId="2" xfId="0" applyFont="1" applyFill="1" applyBorder="1"/>
    <xf numFmtId="165" fontId="2" fillId="0" borderId="0" xfId="0" applyNumberFormat="1" applyFont="1"/>
    <xf numFmtId="165" fontId="2" fillId="5" borderId="2" xfId="0" applyNumberFormat="1" applyFont="1" applyFill="1" applyBorder="1"/>
    <xf numFmtId="167" fontId="0" fillId="0" borderId="0" xfId="0" applyNumberFormat="1"/>
    <xf numFmtId="167" fontId="2" fillId="5" borderId="2" xfId="0" applyNumberFormat="1" applyFont="1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936-B037-4AB1-AF57-1C8DDA5299AC}">
  <dimension ref="A1:J60"/>
  <sheetViews>
    <sheetView topLeftCell="A6" workbookViewId="0">
      <selection activeCell="A30" sqref="A30"/>
    </sheetView>
  </sheetViews>
  <sheetFormatPr baseColWidth="10" defaultRowHeight="15" x14ac:dyDescent="0.25"/>
  <cols>
    <col min="1" max="1" width="166.5703125" bestFit="1" customWidth="1"/>
    <col min="2" max="2" width="47.5703125" customWidth="1"/>
    <col min="3" max="3" width="13.7109375" style="1" bestFit="1" customWidth="1"/>
    <col min="4" max="4" width="11.5703125" bestFit="1" customWidth="1"/>
    <col min="5" max="5" width="12.28515625" bestFit="1" customWidth="1"/>
    <col min="6" max="6" width="12.42578125" customWidth="1"/>
    <col min="7" max="7" width="18.85546875" style="1" bestFit="1" customWidth="1"/>
    <col min="8" max="8" width="30.85546875" style="1" bestFit="1" customWidth="1"/>
    <col min="9" max="9" width="15.140625" style="1" bestFit="1" customWidth="1"/>
    <col min="10" max="10" width="26.140625" style="1" bestFit="1" customWidth="1"/>
    <col min="11" max="11" width="24.85546875" bestFit="1" customWidth="1"/>
  </cols>
  <sheetData>
    <row r="1" spans="1:10" ht="18.75" x14ac:dyDescent="0.3">
      <c r="A1" s="3" t="s">
        <v>31</v>
      </c>
      <c r="B1" s="3"/>
      <c r="C1" s="3"/>
      <c r="D1" s="3"/>
      <c r="E1" s="3"/>
      <c r="G1"/>
      <c r="H1"/>
      <c r="I1"/>
      <c r="J1"/>
    </row>
    <row r="2" spans="1:10" x14ac:dyDescent="0.25">
      <c r="C2"/>
      <c r="G2"/>
      <c r="H2"/>
      <c r="I2"/>
      <c r="J2"/>
    </row>
    <row r="3" spans="1:10" x14ac:dyDescent="0.25">
      <c r="A3" s="5" t="s">
        <v>32</v>
      </c>
      <c r="B3" s="5"/>
      <c r="C3" s="5"/>
      <c r="D3" s="5"/>
      <c r="E3" s="5"/>
      <c r="G3"/>
      <c r="H3"/>
      <c r="I3"/>
      <c r="J3"/>
    </row>
    <row r="4" spans="1:10" x14ac:dyDescent="0.25">
      <c r="A4" s="6" t="s">
        <v>33</v>
      </c>
      <c r="B4" s="6" t="s">
        <v>1</v>
      </c>
      <c r="C4" s="6" t="s">
        <v>14</v>
      </c>
      <c r="D4" s="6" t="s">
        <v>2</v>
      </c>
      <c r="E4" s="6" t="s">
        <v>27</v>
      </c>
      <c r="G4"/>
      <c r="H4"/>
      <c r="I4"/>
      <c r="J4"/>
    </row>
    <row r="5" spans="1:10" x14ac:dyDescent="0.25">
      <c r="A5" t="s">
        <v>3</v>
      </c>
      <c r="B5" s="14">
        <v>2200</v>
      </c>
      <c r="C5" s="15">
        <v>3500</v>
      </c>
      <c r="D5" s="11">
        <f>B5*C5</f>
        <v>7700000</v>
      </c>
      <c r="G5"/>
      <c r="H5"/>
      <c r="I5"/>
      <c r="J5"/>
    </row>
    <row r="6" spans="1:10" x14ac:dyDescent="0.25">
      <c r="A6" t="s">
        <v>3</v>
      </c>
      <c r="B6" s="14">
        <v>1000</v>
      </c>
      <c r="C6" s="15">
        <v>3500</v>
      </c>
      <c r="D6" s="11">
        <f>B6*C6</f>
        <v>3500000</v>
      </c>
      <c r="G6"/>
      <c r="H6"/>
      <c r="I6"/>
      <c r="J6"/>
    </row>
    <row r="7" spans="1:10" x14ac:dyDescent="0.25">
      <c r="A7" t="s">
        <v>3</v>
      </c>
      <c r="B7" s="14">
        <v>1500</v>
      </c>
      <c r="C7" s="15">
        <v>3500</v>
      </c>
      <c r="D7" s="11">
        <f>B7*C7</f>
        <v>5250000</v>
      </c>
      <c r="G7"/>
      <c r="H7"/>
      <c r="I7"/>
      <c r="J7"/>
    </row>
    <row r="8" spans="1:10" x14ac:dyDescent="0.25">
      <c r="A8" t="s">
        <v>3</v>
      </c>
      <c r="B8" s="14">
        <v>1500</v>
      </c>
      <c r="C8" s="15">
        <v>3500</v>
      </c>
      <c r="D8" s="11">
        <f>B8*C8</f>
        <v>5250000</v>
      </c>
      <c r="G8"/>
      <c r="H8"/>
      <c r="I8"/>
      <c r="J8"/>
    </row>
    <row r="9" spans="1:10" x14ac:dyDescent="0.25">
      <c r="A9" t="s">
        <v>4</v>
      </c>
      <c r="B9" s="14">
        <v>3000</v>
      </c>
      <c r="C9" s="15">
        <v>3500</v>
      </c>
      <c r="D9" s="11">
        <f>B9*C9</f>
        <v>10500000</v>
      </c>
      <c r="G9"/>
      <c r="H9"/>
      <c r="I9"/>
      <c r="J9"/>
    </row>
    <row r="10" spans="1:10" x14ac:dyDescent="0.25">
      <c r="A10" t="s">
        <v>4</v>
      </c>
      <c r="B10" s="14">
        <v>3000</v>
      </c>
      <c r="C10" s="15">
        <v>3500</v>
      </c>
      <c r="D10" s="11">
        <f>B10*C10</f>
        <v>10500000</v>
      </c>
      <c r="G10"/>
      <c r="H10"/>
      <c r="I10"/>
      <c r="J10"/>
    </row>
    <row r="11" spans="1:10" x14ac:dyDescent="0.25">
      <c r="A11" t="s">
        <v>4</v>
      </c>
      <c r="B11" s="14">
        <v>1000</v>
      </c>
      <c r="C11" s="15">
        <v>3500</v>
      </c>
      <c r="D11" s="11">
        <f>B11*C11</f>
        <v>3500000</v>
      </c>
      <c r="G11"/>
      <c r="H11"/>
      <c r="I11"/>
      <c r="J11"/>
    </row>
    <row r="12" spans="1:10" x14ac:dyDescent="0.25">
      <c r="A12" t="s">
        <v>5</v>
      </c>
      <c r="B12" s="14">
        <v>3000</v>
      </c>
      <c r="C12" s="15">
        <v>3500</v>
      </c>
      <c r="D12" s="11">
        <f>B12*C12</f>
        <v>10500000</v>
      </c>
      <c r="G12"/>
      <c r="H12"/>
      <c r="I12"/>
      <c r="J12"/>
    </row>
    <row r="13" spans="1:10" x14ac:dyDescent="0.25">
      <c r="A13" t="s">
        <v>5</v>
      </c>
      <c r="B13" s="14">
        <v>1000</v>
      </c>
      <c r="C13" s="15">
        <v>3500</v>
      </c>
      <c r="D13" s="11">
        <f>B13*C13</f>
        <v>3500000</v>
      </c>
      <c r="G13"/>
      <c r="H13"/>
      <c r="I13"/>
      <c r="J13"/>
    </row>
    <row r="14" spans="1:10" x14ac:dyDescent="0.25">
      <c r="A14" s="7" t="s">
        <v>34</v>
      </c>
      <c r="B14" s="10">
        <f>SUM(B5:B13)</f>
        <v>17200</v>
      </c>
      <c r="C14" s="7"/>
      <c r="D14" s="12">
        <f>SUM(D5:D13)</f>
        <v>60200000</v>
      </c>
      <c r="E14" s="7"/>
      <c r="G14"/>
      <c r="H14"/>
      <c r="I14"/>
      <c r="J14"/>
    </row>
    <row r="15" spans="1:10" x14ac:dyDescent="0.25">
      <c r="C15"/>
      <c r="G15"/>
      <c r="H15"/>
      <c r="I15"/>
      <c r="J15"/>
    </row>
    <row r="16" spans="1:10" x14ac:dyDescent="0.25">
      <c r="A16" s="5" t="s">
        <v>35</v>
      </c>
      <c r="B16" s="5"/>
      <c r="C16" s="5"/>
      <c r="D16" s="5"/>
      <c r="E16" s="5"/>
      <c r="G16"/>
      <c r="H16"/>
      <c r="I16"/>
      <c r="J16"/>
    </row>
    <row r="17" spans="1:10" x14ac:dyDescent="0.25">
      <c r="A17" s="6" t="s">
        <v>36</v>
      </c>
      <c r="B17" s="6" t="s">
        <v>37</v>
      </c>
      <c r="C17" s="6" t="s">
        <v>38</v>
      </c>
      <c r="D17" s="6" t="s">
        <v>2</v>
      </c>
      <c r="E17" s="6" t="s">
        <v>27</v>
      </c>
      <c r="G17"/>
      <c r="H17"/>
      <c r="I17"/>
      <c r="J17"/>
    </row>
    <row r="18" spans="1:10" x14ac:dyDescent="0.25">
      <c r="A18" t="s">
        <v>39</v>
      </c>
      <c r="B18" t="s">
        <v>40</v>
      </c>
      <c r="C18"/>
      <c r="D18" s="16">
        <v>2710400</v>
      </c>
      <c r="G18"/>
      <c r="H18"/>
      <c r="I18"/>
      <c r="J18"/>
    </row>
    <row r="19" spans="1:10" x14ac:dyDescent="0.25">
      <c r="A19" t="s">
        <v>39</v>
      </c>
      <c r="B19" t="s">
        <v>41</v>
      </c>
      <c r="C19"/>
      <c r="D19" s="16">
        <v>486000</v>
      </c>
      <c r="G19"/>
      <c r="H19"/>
      <c r="I19"/>
      <c r="J19"/>
    </row>
    <row r="20" spans="1:10" x14ac:dyDescent="0.25">
      <c r="A20" t="s">
        <v>39</v>
      </c>
      <c r="B20" t="s">
        <v>42</v>
      </c>
      <c r="C20"/>
      <c r="D20" s="16">
        <v>1322585</v>
      </c>
      <c r="G20"/>
      <c r="H20"/>
      <c r="I20"/>
      <c r="J20"/>
    </row>
    <row r="21" spans="1:10" x14ac:dyDescent="0.25">
      <c r="A21" t="s">
        <v>39</v>
      </c>
      <c r="B21" t="s">
        <v>43</v>
      </c>
      <c r="C21"/>
      <c r="D21" s="16">
        <v>5943183</v>
      </c>
      <c r="G21"/>
      <c r="H21"/>
      <c r="I21"/>
      <c r="J21"/>
    </row>
    <row r="22" spans="1:10" x14ac:dyDescent="0.25">
      <c r="A22" t="s">
        <v>44</v>
      </c>
      <c r="B22" t="s">
        <v>6</v>
      </c>
      <c r="C22"/>
      <c r="D22" s="16">
        <v>2500000</v>
      </c>
      <c r="G22"/>
      <c r="H22"/>
      <c r="I22"/>
      <c r="J22"/>
    </row>
    <row r="23" spans="1:10" x14ac:dyDescent="0.25">
      <c r="A23" t="s">
        <v>44</v>
      </c>
      <c r="B23" t="s">
        <v>45</v>
      </c>
      <c r="C23"/>
      <c r="D23" s="16">
        <v>3000000</v>
      </c>
      <c r="G23"/>
      <c r="H23"/>
      <c r="I23"/>
      <c r="J23"/>
    </row>
    <row r="24" spans="1:10" x14ac:dyDescent="0.25">
      <c r="A24" t="s">
        <v>44</v>
      </c>
      <c r="B24" t="s">
        <v>46</v>
      </c>
      <c r="C24"/>
      <c r="D24" s="16">
        <v>6000000</v>
      </c>
      <c r="G24"/>
      <c r="H24"/>
      <c r="I24"/>
      <c r="J24"/>
    </row>
    <row r="25" spans="1:10" x14ac:dyDescent="0.25">
      <c r="A25" t="s">
        <v>44</v>
      </c>
      <c r="B25" t="s">
        <v>47</v>
      </c>
      <c r="C25"/>
      <c r="D25" s="16">
        <v>1500000</v>
      </c>
      <c r="G25"/>
      <c r="H25"/>
      <c r="I25"/>
      <c r="J25"/>
    </row>
    <row r="26" spans="1:10" x14ac:dyDescent="0.25">
      <c r="A26" t="s">
        <v>44</v>
      </c>
      <c r="B26" t="s">
        <v>48</v>
      </c>
      <c r="C26"/>
      <c r="D26" s="16">
        <v>300000</v>
      </c>
      <c r="G26"/>
      <c r="H26"/>
      <c r="I26"/>
      <c r="J26"/>
    </row>
    <row r="27" spans="1:10" x14ac:dyDescent="0.25">
      <c r="A27" t="s">
        <v>44</v>
      </c>
      <c r="B27" t="s">
        <v>24</v>
      </c>
      <c r="C27"/>
      <c r="D27" s="16">
        <v>2600000</v>
      </c>
      <c r="G27"/>
      <c r="H27"/>
      <c r="I27"/>
      <c r="J27"/>
    </row>
    <row r="28" spans="1:10" x14ac:dyDescent="0.25">
      <c r="A28" t="s">
        <v>49</v>
      </c>
      <c r="B28" t="s">
        <v>50</v>
      </c>
      <c r="C28" s="17">
        <v>3</v>
      </c>
      <c r="D28" s="11">
        <f>C28*6500000</f>
        <v>19500000</v>
      </c>
      <c r="G28"/>
      <c r="H28"/>
      <c r="I28"/>
      <c r="J28"/>
    </row>
    <row r="29" spans="1:10" x14ac:dyDescent="0.25">
      <c r="A29" s="7" t="s">
        <v>51</v>
      </c>
      <c r="B29" s="7"/>
      <c r="C29" s="7"/>
      <c r="D29" s="12">
        <f>SUM(D18:D28)</f>
        <v>45862168</v>
      </c>
      <c r="E29" s="7"/>
      <c r="G29"/>
      <c r="H29"/>
      <c r="I29"/>
      <c r="J29"/>
    </row>
    <row r="30" spans="1:10" x14ac:dyDescent="0.25">
      <c r="C30"/>
      <c r="G30"/>
      <c r="H30"/>
      <c r="I30"/>
      <c r="J30"/>
    </row>
    <row r="31" spans="1:10" x14ac:dyDescent="0.25">
      <c r="A31" s="5" t="s">
        <v>52</v>
      </c>
      <c r="B31" s="5"/>
      <c r="C31" s="5"/>
      <c r="D31" s="5"/>
      <c r="E31" s="5"/>
      <c r="G31"/>
      <c r="H31"/>
      <c r="I31"/>
      <c r="J31"/>
    </row>
    <row r="32" spans="1:10" x14ac:dyDescent="0.25">
      <c r="A32" t="s">
        <v>53</v>
      </c>
      <c r="C32"/>
      <c r="D32" s="11">
        <f>D14</f>
        <v>60200000</v>
      </c>
      <c r="G32"/>
      <c r="H32"/>
      <c r="I32"/>
      <c r="J32"/>
    </row>
    <row r="33" spans="1:10" x14ac:dyDescent="0.25">
      <c r="A33" t="s">
        <v>54</v>
      </c>
      <c r="C33"/>
      <c r="D33" s="11">
        <f>SUMIF($A$18:$A$28,"Evento",$D$18:$D$28)</f>
        <v>10462168</v>
      </c>
      <c r="G33"/>
      <c r="H33"/>
      <c r="I33"/>
      <c r="J33"/>
    </row>
    <row r="34" spans="1:10" x14ac:dyDescent="0.25">
      <c r="A34" t="s">
        <v>55</v>
      </c>
      <c r="C34"/>
      <c r="D34" s="11">
        <f>SUMIF($A$18:$A$28,"Incentivo",$D$18:$D$28)</f>
        <v>15900000</v>
      </c>
      <c r="G34"/>
      <c r="H34"/>
      <c r="I34"/>
      <c r="J34"/>
    </row>
    <row r="35" spans="1:10" x14ac:dyDescent="0.25">
      <c r="A35" t="s">
        <v>56</v>
      </c>
      <c r="C35"/>
      <c r="D35" s="11">
        <f>SUMIF($A$18:$A$28,"Rio",$D$18:$D$28)</f>
        <v>19500000</v>
      </c>
      <c r="G35"/>
      <c r="H35"/>
      <c r="I35"/>
      <c r="J35"/>
    </row>
    <row r="36" spans="1:10" x14ac:dyDescent="0.25">
      <c r="A36" t="s">
        <v>57</v>
      </c>
      <c r="C36"/>
      <c r="D36" s="11">
        <f>D29</f>
        <v>45862168</v>
      </c>
      <c r="G36"/>
      <c r="H36"/>
      <c r="I36"/>
      <c r="J36"/>
    </row>
    <row r="37" spans="1:10" x14ac:dyDescent="0.25">
      <c r="A37" s="8" t="s">
        <v>58</v>
      </c>
      <c r="B37" s="8"/>
      <c r="C37" s="8"/>
      <c r="D37" s="13">
        <f>D32-D36</f>
        <v>14337832</v>
      </c>
      <c r="G37"/>
      <c r="H37"/>
      <c r="I37"/>
      <c r="J37"/>
    </row>
    <row r="38" spans="1:10" x14ac:dyDescent="0.25">
      <c r="A38" t="s">
        <v>59</v>
      </c>
      <c r="C38"/>
      <c r="D38" s="11">
        <f>D37*10%</f>
        <v>1433783.2000000002</v>
      </c>
      <c r="G38"/>
      <c r="H38"/>
      <c r="I38"/>
      <c r="J38"/>
    </row>
    <row r="39" spans="1:10" x14ac:dyDescent="0.25">
      <c r="C39"/>
      <c r="G39"/>
      <c r="H39"/>
      <c r="I39"/>
      <c r="J39"/>
    </row>
    <row r="40" spans="1:10" x14ac:dyDescent="0.25">
      <c r="A40" s="9" t="s">
        <v>60</v>
      </c>
      <c r="C40"/>
      <c r="G40"/>
      <c r="H40"/>
      <c r="I40"/>
      <c r="J40"/>
    </row>
    <row r="41" spans="1:10" x14ac:dyDescent="0.25">
      <c r="C41"/>
      <c r="G41"/>
      <c r="H41"/>
      <c r="I41"/>
      <c r="J41"/>
    </row>
    <row r="42" spans="1:10" x14ac:dyDescent="0.25">
      <c r="C42"/>
      <c r="G42"/>
      <c r="H42"/>
      <c r="I42"/>
      <c r="J42"/>
    </row>
    <row r="43" spans="1:10" x14ac:dyDescent="0.25">
      <c r="C43"/>
      <c r="G43"/>
      <c r="H43"/>
      <c r="I43"/>
      <c r="J43"/>
    </row>
    <row r="44" spans="1:10" x14ac:dyDescent="0.25">
      <c r="C44"/>
      <c r="G44"/>
      <c r="H44"/>
      <c r="I44"/>
      <c r="J44"/>
    </row>
    <row r="45" spans="1:10" x14ac:dyDescent="0.25">
      <c r="C45"/>
      <c r="G45"/>
      <c r="H45"/>
      <c r="I45"/>
      <c r="J45"/>
    </row>
    <row r="46" spans="1:10" x14ac:dyDescent="0.25">
      <c r="C46"/>
      <c r="G46"/>
      <c r="H46"/>
      <c r="I46"/>
      <c r="J46"/>
    </row>
    <row r="47" spans="1:10" x14ac:dyDescent="0.25">
      <c r="C47"/>
      <c r="G47"/>
      <c r="H47"/>
      <c r="I47"/>
      <c r="J47"/>
    </row>
    <row r="48" spans="1:10" x14ac:dyDescent="0.25">
      <c r="C48"/>
      <c r="G48"/>
      <c r="H48"/>
      <c r="I48"/>
      <c r="J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</sheetData>
  <mergeCells count="4">
    <mergeCell ref="A1:E1"/>
    <mergeCell ref="A3:E3"/>
    <mergeCell ref="A16:E16"/>
    <mergeCell ref="A3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62EB-C15E-40EC-B3C3-ADC38A76C24D}">
  <dimension ref="A1:L60"/>
  <sheetViews>
    <sheetView workbookViewId="0">
      <selection activeCell="C7" sqref="C7"/>
    </sheetView>
  </sheetViews>
  <sheetFormatPr baseColWidth="10" defaultRowHeight="15" x14ac:dyDescent="0.25"/>
  <cols>
    <col min="1" max="1" width="122.42578125" bestFit="1" customWidth="1"/>
    <col min="2" max="2" width="47.5703125" customWidth="1"/>
    <col min="3" max="3" width="14.5703125" bestFit="1" customWidth="1"/>
    <col min="4" max="4" width="11.5703125" bestFit="1" customWidth="1"/>
    <col min="5" max="5" width="55.85546875" bestFit="1" customWidth="1"/>
    <col min="6" max="6" width="11.5703125" style="1" bestFit="1" customWidth="1"/>
    <col min="8" max="8" width="16.140625" bestFit="1" customWidth="1"/>
    <col min="9" max="9" width="20.28515625" style="1" bestFit="1" customWidth="1"/>
    <col min="12" max="12" width="14.140625" style="1" bestFit="1" customWidth="1"/>
    <col min="13" max="13" width="16.5703125" bestFit="1" customWidth="1"/>
    <col min="14" max="14" width="24.28515625" bestFit="1" customWidth="1"/>
    <col min="16" max="16" width="15.140625" bestFit="1" customWidth="1"/>
  </cols>
  <sheetData>
    <row r="1" spans="1:12" ht="18.75" x14ac:dyDescent="0.3">
      <c r="A1" s="3" t="s">
        <v>61</v>
      </c>
      <c r="B1" s="3"/>
      <c r="C1" s="3"/>
      <c r="D1" s="3"/>
      <c r="E1" s="3"/>
      <c r="F1"/>
      <c r="I1"/>
      <c r="L1"/>
    </row>
    <row r="2" spans="1:12" x14ac:dyDescent="0.25">
      <c r="F2"/>
      <c r="I2"/>
      <c r="L2"/>
    </row>
    <row r="3" spans="1:12" x14ac:dyDescent="0.25">
      <c r="A3" s="5" t="s">
        <v>32</v>
      </c>
      <c r="B3" s="5"/>
      <c r="C3" s="5"/>
      <c r="D3" s="5"/>
      <c r="E3" s="5"/>
      <c r="F3"/>
      <c r="I3"/>
      <c r="L3"/>
    </row>
    <row r="4" spans="1:12" x14ac:dyDescent="0.25">
      <c r="A4" s="6" t="s">
        <v>33</v>
      </c>
      <c r="B4" s="6" t="s">
        <v>1</v>
      </c>
      <c r="C4" s="6" t="s">
        <v>14</v>
      </c>
      <c r="D4" s="6" t="s">
        <v>2</v>
      </c>
      <c r="E4" s="6" t="s">
        <v>62</v>
      </c>
      <c r="F4"/>
      <c r="I4"/>
      <c r="L4"/>
    </row>
    <row r="5" spans="1:12" x14ac:dyDescent="0.25">
      <c r="A5" t="s">
        <v>63</v>
      </c>
      <c r="B5" s="14">
        <v>1414.49</v>
      </c>
      <c r="C5" s="15">
        <v>3500</v>
      </c>
      <c r="D5" s="11">
        <f>B5*C5</f>
        <v>4950715</v>
      </c>
      <c r="E5" t="s">
        <v>64</v>
      </c>
      <c r="F5"/>
      <c r="I5"/>
      <c r="L5"/>
    </row>
    <row r="6" spans="1:12" x14ac:dyDescent="0.25">
      <c r="A6" t="s">
        <v>65</v>
      </c>
      <c r="B6" s="14">
        <v>967</v>
      </c>
      <c r="C6" s="15">
        <v>3500</v>
      </c>
      <c r="D6" s="11">
        <f>B6*C6</f>
        <v>3384500</v>
      </c>
      <c r="E6" t="s">
        <v>66</v>
      </c>
      <c r="F6"/>
      <c r="I6"/>
      <c r="L6"/>
    </row>
    <row r="7" spans="1:12" x14ac:dyDescent="0.25">
      <c r="A7" t="s">
        <v>67</v>
      </c>
      <c r="B7" s="14">
        <v>2864</v>
      </c>
      <c r="C7" s="15">
        <v>3500</v>
      </c>
      <c r="D7" s="11">
        <f>B7*C7</f>
        <v>10024000</v>
      </c>
      <c r="E7" t="s">
        <v>68</v>
      </c>
      <c r="F7"/>
      <c r="I7"/>
      <c r="L7"/>
    </row>
    <row r="8" spans="1:12" x14ac:dyDescent="0.25">
      <c r="A8" t="s">
        <v>69</v>
      </c>
      <c r="B8" s="14">
        <v>1811</v>
      </c>
      <c r="C8" s="15">
        <v>3500</v>
      </c>
      <c r="D8" s="11">
        <f>B8*C8</f>
        <v>6338500</v>
      </c>
      <c r="E8" t="s">
        <v>70</v>
      </c>
      <c r="F8"/>
      <c r="I8"/>
      <c r="L8"/>
    </row>
    <row r="9" spans="1:12" x14ac:dyDescent="0.25">
      <c r="A9" s="7" t="s">
        <v>71</v>
      </c>
      <c r="B9" s="10">
        <f>SUM(B5:B8)</f>
        <v>7056.49</v>
      </c>
      <c r="C9" s="19"/>
      <c r="D9" s="12">
        <f>SUM(D5:D8)</f>
        <v>24697715</v>
      </c>
      <c r="E9" s="7"/>
      <c r="F9"/>
      <c r="I9"/>
      <c r="L9"/>
    </row>
    <row r="10" spans="1:12" x14ac:dyDescent="0.25">
      <c r="A10" t="s">
        <v>72</v>
      </c>
      <c r="B10" s="14">
        <v>9500</v>
      </c>
      <c r="C10" s="15">
        <v>3500</v>
      </c>
      <c r="D10" s="11">
        <f>B10*C10</f>
        <v>33250000</v>
      </c>
      <c r="E10" t="s">
        <v>73</v>
      </c>
      <c r="F10"/>
      <c r="I10"/>
      <c r="L10"/>
    </row>
    <row r="11" spans="1:12" x14ac:dyDescent="0.25">
      <c r="A11" s="7" t="s">
        <v>34</v>
      </c>
      <c r="B11" s="10">
        <f>B9+B10</f>
        <v>16556.489999999998</v>
      </c>
      <c r="C11" s="7"/>
      <c r="D11" s="12">
        <f>D9+D10</f>
        <v>57947715</v>
      </c>
      <c r="E11" s="7"/>
      <c r="F11"/>
      <c r="I11"/>
      <c r="L11"/>
    </row>
    <row r="12" spans="1:12" x14ac:dyDescent="0.25">
      <c r="F12"/>
      <c r="I12"/>
      <c r="L12"/>
    </row>
    <row r="13" spans="1:12" x14ac:dyDescent="0.25">
      <c r="A13" s="18" t="s">
        <v>35</v>
      </c>
      <c r="B13" s="18"/>
      <c r="C13" s="18"/>
      <c r="D13" s="18"/>
      <c r="E13" s="18"/>
      <c r="F13"/>
      <c r="I13"/>
      <c r="L13"/>
    </row>
    <row r="14" spans="1:12" x14ac:dyDescent="0.25">
      <c r="A14" s="6" t="s">
        <v>36</v>
      </c>
      <c r="B14" s="6" t="s">
        <v>37</v>
      </c>
      <c r="C14" s="6" t="s">
        <v>38</v>
      </c>
      <c r="D14" s="6" t="s">
        <v>2</v>
      </c>
      <c r="E14" s="6" t="s">
        <v>27</v>
      </c>
      <c r="F14"/>
      <c r="I14"/>
      <c r="L14"/>
    </row>
    <row r="15" spans="1:12" x14ac:dyDescent="0.25">
      <c r="A15" t="s">
        <v>39</v>
      </c>
      <c r="B15" t="s">
        <v>74</v>
      </c>
      <c r="C15" t="s">
        <v>12</v>
      </c>
      <c r="D15" s="16">
        <v>8874800</v>
      </c>
      <c r="F15"/>
      <c r="I15"/>
      <c r="L15"/>
    </row>
    <row r="16" spans="1:12" x14ac:dyDescent="0.25">
      <c r="A16" t="s">
        <v>39</v>
      </c>
      <c r="B16" t="s">
        <v>75</v>
      </c>
      <c r="C16" t="s">
        <v>11</v>
      </c>
      <c r="D16" s="16">
        <v>6452650</v>
      </c>
      <c r="F16"/>
      <c r="I16"/>
      <c r="L16"/>
    </row>
    <row r="17" spans="1:12" x14ac:dyDescent="0.25">
      <c r="A17" t="s">
        <v>44</v>
      </c>
      <c r="B17" t="s">
        <v>76</v>
      </c>
      <c r="D17" s="16">
        <v>3000000</v>
      </c>
      <c r="F17"/>
      <c r="I17"/>
      <c r="L17"/>
    </row>
    <row r="18" spans="1:12" x14ac:dyDescent="0.25">
      <c r="A18" t="s">
        <v>44</v>
      </c>
      <c r="B18" t="s">
        <v>77</v>
      </c>
      <c r="D18" s="16">
        <v>2600000</v>
      </c>
      <c r="F18"/>
      <c r="I18"/>
      <c r="L18"/>
    </row>
    <row r="19" spans="1:12" x14ac:dyDescent="0.25">
      <c r="A19" t="s">
        <v>49</v>
      </c>
      <c r="B19" t="s">
        <v>50</v>
      </c>
      <c r="C19" s="17">
        <v>2</v>
      </c>
      <c r="D19" s="11">
        <f>C19*6500000</f>
        <v>13000000</v>
      </c>
      <c r="F19"/>
      <c r="I19"/>
      <c r="L19"/>
    </row>
    <row r="20" spans="1:12" x14ac:dyDescent="0.25">
      <c r="A20" s="7" t="s">
        <v>51</v>
      </c>
      <c r="B20" s="7"/>
      <c r="C20" s="7"/>
      <c r="D20" s="12">
        <f>SUM(D15:D19)</f>
        <v>33927450</v>
      </c>
      <c r="E20" s="7"/>
      <c r="F20"/>
      <c r="I20"/>
      <c r="L20"/>
    </row>
    <row r="21" spans="1:12" x14ac:dyDescent="0.25">
      <c r="F21"/>
      <c r="I21"/>
      <c r="L21"/>
    </row>
    <row r="22" spans="1:12" x14ac:dyDescent="0.25">
      <c r="A22" s="5" t="s">
        <v>52</v>
      </c>
      <c r="B22" s="5"/>
      <c r="C22" s="5"/>
      <c r="D22" s="5"/>
      <c r="E22" s="5"/>
      <c r="F22"/>
      <c r="I22"/>
      <c r="L22"/>
    </row>
    <row r="23" spans="1:12" x14ac:dyDescent="0.25">
      <c r="A23" t="s">
        <v>53</v>
      </c>
      <c r="D23" s="11">
        <f>D11</f>
        <v>57947715</v>
      </c>
      <c r="F23"/>
      <c r="I23"/>
      <c r="L23"/>
    </row>
    <row r="24" spans="1:12" x14ac:dyDescent="0.25">
      <c r="A24" t="s">
        <v>54</v>
      </c>
      <c r="D24" s="11">
        <f>SUMIF($A$15:$A$19,"Evento",$D$15:$D$19)</f>
        <v>15327450</v>
      </c>
      <c r="F24"/>
      <c r="I24"/>
      <c r="L24"/>
    </row>
    <row r="25" spans="1:12" x14ac:dyDescent="0.25">
      <c r="A25" t="s">
        <v>55</v>
      </c>
      <c r="D25" s="11">
        <f>SUMIF($A$15:$A$19,"Incentivo",$D$15:$D$19)</f>
        <v>5600000</v>
      </c>
      <c r="F25"/>
      <c r="I25"/>
      <c r="L25"/>
    </row>
    <row r="26" spans="1:12" x14ac:dyDescent="0.25">
      <c r="A26" t="s">
        <v>56</v>
      </c>
      <c r="D26" s="11">
        <f>SUMIF($A$15:$A$19,"Rio",$D$15:$D$19)</f>
        <v>13000000</v>
      </c>
      <c r="F26"/>
      <c r="I26"/>
      <c r="L26"/>
    </row>
    <row r="27" spans="1:12" x14ac:dyDescent="0.25">
      <c r="A27" t="s">
        <v>57</v>
      </c>
      <c r="D27" s="11">
        <f>D20</f>
        <v>33927450</v>
      </c>
      <c r="F27"/>
      <c r="I27"/>
      <c r="L27"/>
    </row>
    <row r="28" spans="1:12" x14ac:dyDescent="0.25">
      <c r="A28" s="8" t="s">
        <v>58</v>
      </c>
      <c r="B28" s="8"/>
      <c r="C28" s="8"/>
      <c r="D28" s="13">
        <f>D23-D27</f>
        <v>24020265</v>
      </c>
      <c r="F28"/>
      <c r="I28"/>
      <c r="L28"/>
    </row>
    <row r="29" spans="1:12" x14ac:dyDescent="0.25">
      <c r="A29" t="s">
        <v>59</v>
      </c>
      <c r="D29" s="11">
        <f>D28*10%</f>
        <v>2402026.5</v>
      </c>
      <c r="F29"/>
      <c r="I29"/>
      <c r="L29"/>
    </row>
    <row r="30" spans="1:12" x14ac:dyDescent="0.25">
      <c r="F30"/>
      <c r="I30"/>
      <c r="L30"/>
    </row>
    <row r="31" spans="1:12" x14ac:dyDescent="0.25">
      <c r="A31" s="9" t="s">
        <v>78</v>
      </c>
      <c r="F31"/>
      <c r="I31"/>
      <c r="L31"/>
    </row>
    <row r="32" spans="1:12" x14ac:dyDescent="0.25">
      <c r="F32"/>
      <c r="I32"/>
      <c r="L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</sheetData>
  <mergeCells count="4">
    <mergeCell ref="A1:E1"/>
    <mergeCell ref="A3:E3"/>
    <mergeCell ref="A13:E13"/>
    <mergeCell ref="A22:E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0B17-93B2-4E13-BAB2-3F18B3D8E60F}">
  <dimension ref="A1:I60"/>
  <sheetViews>
    <sheetView workbookViewId="0">
      <selection activeCell="C7" sqref="C7"/>
    </sheetView>
  </sheetViews>
  <sheetFormatPr baseColWidth="10" defaultRowHeight="15" x14ac:dyDescent="0.25"/>
  <cols>
    <col min="1" max="1" width="151.28515625" bestFit="1" customWidth="1"/>
    <col min="2" max="2" width="47.5703125" style="1" customWidth="1"/>
    <col min="3" max="3" width="13.7109375" bestFit="1" customWidth="1"/>
    <col min="4" max="4" width="11.5703125" bestFit="1" customWidth="1"/>
    <col min="5" max="5" width="46.140625" bestFit="1" customWidth="1"/>
    <col min="6" max="6" width="20.140625" bestFit="1" customWidth="1"/>
    <col min="7" max="7" width="14.140625" style="1" bestFit="1" customWidth="1"/>
    <col min="9" max="9" width="14.140625" style="1" bestFit="1" customWidth="1"/>
    <col min="10" max="10" width="20.140625" bestFit="1" customWidth="1"/>
    <col min="11" max="11" width="24.28515625" bestFit="1" customWidth="1"/>
    <col min="13" max="13" width="15.140625" bestFit="1" customWidth="1"/>
  </cols>
  <sheetData>
    <row r="1" spans="1:9" ht="18.75" x14ac:dyDescent="0.3">
      <c r="A1" s="3" t="s">
        <v>79</v>
      </c>
      <c r="B1" s="3"/>
      <c r="C1" s="3"/>
      <c r="D1" s="3"/>
      <c r="E1" s="3"/>
      <c r="G1"/>
      <c r="I1"/>
    </row>
    <row r="2" spans="1:9" x14ac:dyDescent="0.25">
      <c r="B2"/>
      <c r="G2"/>
      <c r="I2"/>
    </row>
    <row r="3" spans="1:9" x14ac:dyDescent="0.25">
      <c r="A3" s="5" t="s">
        <v>32</v>
      </c>
      <c r="B3" s="5"/>
      <c r="C3" s="5"/>
      <c r="D3" s="5"/>
      <c r="E3" s="5"/>
      <c r="G3"/>
      <c r="I3"/>
    </row>
    <row r="4" spans="1:9" x14ac:dyDescent="0.25">
      <c r="A4" s="6" t="s">
        <v>33</v>
      </c>
      <c r="B4" s="6" t="s">
        <v>1</v>
      </c>
      <c r="C4" s="6" t="s">
        <v>14</v>
      </c>
      <c r="D4" s="6" t="s">
        <v>2</v>
      </c>
      <c r="E4" s="6" t="s">
        <v>80</v>
      </c>
      <c r="G4"/>
      <c r="I4"/>
    </row>
    <row r="5" spans="1:9" x14ac:dyDescent="0.25">
      <c r="A5" t="s">
        <v>10</v>
      </c>
      <c r="B5" s="14">
        <v>1906</v>
      </c>
      <c r="C5" s="15">
        <v>3500</v>
      </c>
      <c r="D5" s="11">
        <f>B5*C5</f>
        <v>6671000</v>
      </c>
      <c r="E5" t="s">
        <v>81</v>
      </c>
      <c r="G5"/>
      <c r="I5"/>
    </row>
    <row r="6" spans="1:9" x14ac:dyDescent="0.25">
      <c r="A6" t="s">
        <v>7</v>
      </c>
      <c r="B6" s="14">
        <v>2997</v>
      </c>
      <c r="C6" s="15">
        <v>3500</v>
      </c>
      <c r="D6" s="11">
        <f>B6*C6</f>
        <v>10489500</v>
      </c>
      <c r="E6" t="s">
        <v>81</v>
      </c>
      <c r="G6"/>
      <c r="I6"/>
    </row>
    <row r="7" spans="1:9" x14ac:dyDescent="0.25">
      <c r="A7" t="s">
        <v>8</v>
      </c>
      <c r="B7" s="14">
        <v>3349</v>
      </c>
      <c r="C7" s="15">
        <v>3500</v>
      </c>
      <c r="D7" s="11">
        <f>B7*C7</f>
        <v>11721500</v>
      </c>
      <c r="E7" t="s">
        <v>82</v>
      </c>
      <c r="G7"/>
      <c r="I7"/>
    </row>
    <row r="8" spans="1:9" x14ac:dyDescent="0.25">
      <c r="A8" s="7" t="s">
        <v>83</v>
      </c>
      <c r="B8" s="10">
        <f>SUMIF($E$5:$E$7,"Confirmado",$B$5:$B$7)</f>
        <v>4903</v>
      </c>
      <c r="C8" s="7"/>
      <c r="D8" s="12">
        <f>SUMIF($E$5:$E$7,"Confirmado",$D$5:$D$7)</f>
        <v>17160500</v>
      </c>
      <c r="E8" s="7"/>
      <c r="G8"/>
      <c r="I8"/>
    </row>
    <row r="9" spans="1:9" x14ac:dyDescent="0.25">
      <c r="A9" t="s">
        <v>84</v>
      </c>
      <c r="B9" s="2">
        <f>SUM(B5:B7)</f>
        <v>8252</v>
      </c>
      <c r="D9" s="11">
        <f>SUM(D5:D7)</f>
        <v>28882000</v>
      </c>
      <c r="G9"/>
      <c r="I9"/>
    </row>
    <row r="10" spans="1:9" x14ac:dyDescent="0.25">
      <c r="B10"/>
      <c r="G10"/>
      <c r="I10"/>
    </row>
    <row r="11" spans="1:9" x14ac:dyDescent="0.25">
      <c r="A11" s="5" t="s">
        <v>35</v>
      </c>
      <c r="B11" s="5"/>
      <c r="C11" s="5"/>
      <c r="D11" s="5"/>
      <c r="E11" s="5"/>
      <c r="G11"/>
      <c r="I11"/>
    </row>
    <row r="12" spans="1:9" x14ac:dyDescent="0.25">
      <c r="A12" s="6" t="s">
        <v>36</v>
      </c>
      <c r="B12" s="6" t="s">
        <v>37</v>
      </c>
      <c r="C12" s="6" t="s">
        <v>38</v>
      </c>
      <c r="D12" s="6" t="s">
        <v>2</v>
      </c>
      <c r="E12" s="6" t="s">
        <v>27</v>
      </c>
      <c r="G12"/>
      <c r="I12"/>
    </row>
    <row r="13" spans="1:9" x14ac:dyDescent="0.25">
      <c r="A13" t="s">
        <v>39</v>
      </c>
      <c r="B13" t="s">
        <v>74</v>
      </c>
      <c r="D13" s="16">
        <v>4408950</v>
      </c>
      <c r="G13"/>
      <c r="I13"/>
    </row>
    <row r="14" spans="1:9" x14ac:dyDescent="0.25">
      <c r="A14" t="s">
        <v>44</v>
      </c>
      <c r="B14" t="s">
        <v>85</v>
      </c>
      <c r="D14" s="16">
        <v>2500000</v>
      </c>
      <c r="G14"/>
      <c r="I14"/>
    </row>
    <row r="15" spans="1:9" x14ac:dyDescent="0.25">
      <c r="A15" t="s">
        <v>44</v>
      </c>
      <c r="B15" t="s">
        <v>86</v>
      </c>
      <c r="D15" s="16">
        <v>500000</v>
      </c>
      <c r="G15"/>
      <c r="I15"/>
    </row>
    <row r="16" spans="1:9" x14ac:dyDescent="0.25">
      <c r="A16" t="s">
        <v>49</v>
      </c>
      <c r="B16" t="s">
        <v>50</v>
      </c>
      <c r="C16" s="20">
        <v>1.5</v>
      </c>
      <c r="D16" s="11">
        <f>C16*6500000</f>
        <v>9750000</v>
      </c>
      <c r="G16"/>
      <c r="I16"/>
    </row>
    <row r="17" spans="1:9" x14ac:dyDescent="0.25">
      <c r="A17" s="7" t="s">
        <v>51</v>
      </c>
      <c r="B17" s="7"/>
      <c r="C17" s="7"/>
      <c r="D17" s="12">
        <f>SUM(D13:D16)</f>
        <v>17158950</v>
      </c>
      <c r="E17" s="7"/>
      <c r="G17"/>
      <c r="I17"/>
    </row>
    <row r="18" spans="1:9" x14ac:dyDescent="0.25">
      <c r="B18"/>
      <c r="G18"/>
      <c r="I18"/>
    </row>
    <row r="19" spans="1:9" x14ac:dyDescent="0.25">
      <c r="A19" s="5" t="s">
        <v>52</v>
      </c>
      <c r="B19" s="5"/>
      <c r="C19" s="5"/>
      <c r="D19" s="5"/>
      <c r="E19" s="5"/>
      <c r="G19"/>
      <c r="I19"/>
    </row>
    <row r="20" spans="1:9" x14ac:dyDescent="0.25">
      <c r="A20" t="s">
        <v>87</v>
      </c>
      <c r="B20"/>
      <c r="D20" s="11">
        <f>D8</f>
        <v>17160500</v>
      </c>
      <c r="G20"/>
      <c r="I20"/>
    </row>
    <row r="21" spans="1:9" x14ac:dyDescent="0.25">
      <c r="A21" t="s">
        <v>54</v>
      </c>
      <c r="B21"/>
      <c r="D21" s="11">
        <f>SUMIF($A$13:$A$16,"Evento",$D$13:$D$16)</f>
        <v>4408950</v>
      </c>
      <c r="G21"/>
      <c r="I21"/>
    </row>
    <row r="22" spans="1:9" x14ac:dyDescent="0.25">
      <c r="A22" t="s">
        <v>55</v>
      </c>
      <c r="B22"/>
      <c r="D22" s="11">
        <f>SUMIF($A$13:$A$16,"Incentivo",$D$13:$D$16)</f>
        <v>3000000</v>
      </c>
      <c r="G22"/>
      <c r="I22"/>
    </row>
    <row r="23" spans="1:9" x14ac:dyDescent="0.25">
      <c r="A23" t="s">
        <v>56</v>
      </c>
      <c r="B23"/>
      <c r="D23" s="11">
        <f>SUMIF($A$13:$A$16,"Rio",$D$13:$D$16)</f>
        <v>9750000</v>
      </c>
      <c r="G23"/>
      <c r="I23"/>
    </row>
    <row r="24" spans="1:9" x14ac:dyDescent="0.25">
      <c r="A24" t="s">
        <v>57</v>
      </c>
      <c r="B24"/>
      <c r="D24" s="11">
        <f>D17</f>
        <v>17158950</v>
      </c>
      <c r="G24"/>
      <c r="I24"/>
    </row>
    <row r="25" spans="1:9" x14ac:dyDescent="0.25">
      <c r="A25" s="8" t="s">
        <v>58</v>
      </c>
      <c r="B25" s="8"/>
      <c r="C25" s="8"/>
      <c r="D25" s="13">
        <f>D20-D24</f>
        <v>1550</v>
      </c>
      <c r="G25"/>
      <c r="I25"/>
    </row>
    <row r="26" spans="1:9" x14ac:dyDescent="0.25">
      <c r="A26" t="s">
        <v>59</v>
      </c>
      <c r="B26"/>
      <c r="D26" s="11">
        <f>D25*10%</f>
        <v>155</v>
      </c>
      <c r="G26"/>
      <c r="I26"/>
    </row>
    <row r="27" spans="1:9" x14ac:dyDescent="0.25">
      <c r="B27"/>
      <c r="G27"/>
      <c r="I27"/>
    </row>
    <row r="28" spans="1:9" x14ac:dyDescent="0.25">
      <c r="A28" s="9" t="s">
        <v>88</v>
      </c>
      <c r="B28"/>
      <c r="G28"/>
      <c r="I28"/>
    </row>
    <row r="29" spans="1:9" x14ac:dyDescent="0.25">
      <c r="B29"/>
      <c r="G29"/>
      <c r="I29"/>
    </row>
    <row r="30" spans="1:9" x14ac:dyDescent="0.25">
      <c r="B30"/>
      <c r="G30"/>
      <c r="I30"/>
    </row>
    <row r="31" spans="1:9" x14ac:dyDescent="0.25">
      <c r="B31"/>
      <c r="G31"/>
      <c r="I31"/>
    </row>
    <row r="32" spans="1:9" x14ac:dyDescent="0.25">
      <c r="B32"/>
      <c r="G32"/>
      <c r="I32"/>
    </row>
    <row r="33" spans="2:9" x14ac:dyDescent="0.25">
      <c r="B33"/>
      <c r="G33"/>
      <c r="I33"/>
    </row>
    <row r="34" spans="2:9" x14ac:dyDescent="0.25">
      <c r="B34"/>
      <c r="G34"/>
      <c r="I34"/>
    </row>
    <row r="35" spans="2:9" x14ac:dyDescent="0.25">
      <c r="B35"/>
      <c r="G35"/>
      <c r="I35"/>
    </row>
    <row r="36" spans="2:9" x14ac:dyDescent="0.25">
      <c r="B36"/>
      <c r="G36"/>
      <c r="I36"/>
    </row>
    <row r="37" spans="2:9" x14ac:dyDescent="0.25">
      <c r="B37"/>
      <c r="G37"/>
      <c r="I37"/>
    </row>
    <row r="38" spans="2:9" x14ac:dyDescent="0.25">
      <c r="B38"/>
      <c r="G38"/>
      <c r="I38"/>
    </row>
    <row r="39" spans="2:9" x14ac:dyDescent="0.25">
      <c r="B39"/>
      <c r="G39"/>
      <c r="I39"/>
    </row>
    <row r="40" spans="2:9" x14ac:dyDescent="0.25">
      <c r="B40"/>
      <c r="G40"/>
      <c r="I40"/>
    </row>
    <row r="41" spans="2:9" x14ac:dyDescent="0.25">
      <c r="B41"/>
      <c r="G41"/>
      <c r="I41"/>
    </row>
    <row r="42" spans="2:9" x14ac:dyDescent="0.25">
      <c r="B42"/>
      <c r="G42"/>
      <c r="I42"/>
    </row>
    <row r="43" spans="2:9" x14ac:dyDescent="0.25">
      <c r="B43"/>
      <c r="G43"/>
      <c r="I43"/>
    </row>
    <row r="44" spans="2:9" x14ac:dyDescent="0.25">
      <c r="B44"/>
      <c r="G44"/>
      <c r="I44"/>
    </row>
    <row r="45" spans="2:9" x14ac:dyDescent="0.25">
      <c r="B45"/>
      <c r="G45"/>
      <c r="I45"/>
    </row>
    <row r="46" spans="2:9" x14ac:dyDescent="0.25">
      <c r="B46"/>
      <c r="G46"/>
      <c r="I46"/>
    </row>
    <row r="47" spans="2:9" x14ac:dyDescent="0.25">
      <c r="B47"/>
      <c r="G47"/>
      <c r="I47"/>
    </row>
    <row r="48" spans="2:9" x14ac:dyDescent="0.25">
      <c r="B48"/>
      <c r="G48"/>
      <c r="I48"/>
    </row>
    <row r="49" spans="2:9" x14ac:dyDescent="0.25">
      <c r="B49"/>
      <c r="G49"/>
      <c r="I49"/>
    </row>
    <row r="50" spans="2:9" x14ac:dyDescent="0.25">
      <c r="B50"/>
      <c r="G50"/>
      <c r="I50"/>
    </row>
    <row r="51" spans="2:9" x14ac:dyDescent="0.25">
      <c r="B51"/>
      <c r="G51"/>
      <c r="I51"/>
    </row>
    <row r="52" spans="2:9" x14ac:dyDescent="0.25">
      <c r="B52"/>
      <c r="G52"/>
      <c r="I52"/>
    </row>
    <row r="53" spans="2:9" x14ac:dyDescent="0.25">
      <c r="B53"/>
      <c r="G53"/>
      <c r="I53"/>
    </row>
    <row r="54" spans="2:9" x14ac:dyDescent="0.25">
      <c r="B54"/>
      <c r="G54"/>
      <c r="I54"/>
    </row>
    <row r="55" spans="2:9" x14ac:dyDescent="0.25">
      <c r="B55"/>
      <c r="G55"/>
      <c r="I55"/>
    </row>
    <row r="56" spans="2:9" x14ac:dyDescent="0.25">
      <c r="B56"/>
      <c r="G56"/>
      <c r="I56"/>
    </row>
    <row r="57" spans="2:9" x14ac:dyDescent="0.25">
      <c r="B57"/>
      <c r="G57"/>
      <c r="I57"/>
    </row>
    <row r="58" spans="2:9" x14ac:dyDescent="0.25">
      <c r="B58"/>
      <c r="G58"/>
      <c r="I58"/>
    </row>
    <row r="59" spans="2:9" x14ac:dyDescent="0.25">
      <c r="B59"/>
      <c r="G59"/>
      <c r="I59"/>
    </row>
    <row r="60" spans="2:9" x14ac:dyDescent="0.25">
      <c r="B60"/>
      <c r="G60"/>
      <c r="I60"/>
    </row>
  </sheetData>
  <mergeCells count="4">
    <mergeCell ref="A1:E1"/>
    <mergeCell ref="A3:E3"/>
    <mergeCell ref="A11:E11"/>
    <mergeCell ref="A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1FD2-81A5-4545-800D-197D8AA96EDB}">
  <dimension ref="A1:G60"/>
  <sheetViews>
    <sheetView topLeftCell="I1" workbookViewId="0">
      <selection activeCell="C7" sqref="C7"/>
    </sheetView>
  </sheetViews>
  <sheetFormatPr baseColWidth="10" defaultRowHeight="15" x14ac:dyDescent="0.25"/>
  <cols>
    <col min="1" max="1" width="172.5703125" bestFit="1" customWidth="1"/>
    <col min="2" max="2" width="47.5703125" customWidth="1"/>
    <col min="3" max="3" width="13.7109375" bestFit="1" customWidth="1"/>
    <col min="4" max="4" width="11.5703125" bestFit="1" customWidth="1"/>
    <col min="5" max="5" width="32.140625" style="1" bestFit="1" customWidth="1"/>
    <col min="6" max="6" width="15.140625" style="1" customWidth="1"/>
    <col min="7" max="7" width="14.140625" style="1" bestFit="1" customWidth="1"/>
    <col min="9" max="9" width="14.140625" bestFit="1" customWidth="1"/>
    <col min="10" max="10" width="36" bestFit="1" customWidth="1"/>
    <col min="11" max="11" width="24.28515625" bestFit="1" customWidth="1"/>
    <col min="12" max="12" width="15.140625" bestFit="1" customWidth="1"/>
  </cols>
  <sheetData>
    <row r="1" spans="1:7" ht="18.75" x14ac:dyDescent="0.3">
      <c r="A1" s="3" t="s">
        <v>89</v>
      </c>
      <c r="B1" s="3"/>
      <c r="C1" s="3"/>
      <c r="D1" s="3"/>
      <c r="E1" s="3"/>
      <c r="F1"/>
      <c r="G1"/>
    </row>
    <row r="2" spans="1:7" x14ac:dyDescent="0.25">
      <c r="E2"/>
      <c r="F2"/>
      <c r="G2"/>
    </row>
    <row r="3" spans="1:7" x14ac:dyDescent="0.25">
      <c r="A3" s="5" t="s">
        <v>32</v>
      </c>
      <c r="B3" s="5"/>
      <c r="C3" s="5"/>
      <c r="D3" s="5"/>
      <c r="E3" s="5"/>
      <c r="F3"/>
      <c r="G3"/>
    </row>
    <row r="4" spans="1:7" x14ac:dyDescent="0.25">
      <c r="A4" s="6" t="s">
        <v>33</v>
      </c>
      <c r="B4" s="6" t="s">
        <v>1</v>
      </c>
      <c r="C4" s="6" t="s">
        <v>14</v>
      </c>
      <c r="D4" s="6" t="s">
        <v>2</v>
      </c>
      <c r="E4" s="6" t="s">
        <v>27</v>
      </c>
      <c r="F4"/>
      <c r="G4"/>
    </row>
    <row r="5" spans="1:7" x14ac:dyDescent="0.25">
      <c r="A5" t="s">
        <v>13</v>
      </c>
      <c r="B5" s="14">
        <v>4990</v>
      </c>
      <c r="C5" s="15">
        <v>3500</v>
      </c>
      <c r="D5" s="11">
        <f>B5*C5</f>
        <v>17465000</v>
      </c>
      <c r="E5"/>
      <c r="F5"/>
      <c r="G5"/>
    </row>
    <row r="6" spans="1:7" x14ac:dyDescent="0.25">
      <c r="A6" s="7" t="s">
        <v>34</v>
      </c>
      <c r="B6" s="10">
        <f>SUM(B5:B5)</f>
        <v>4990</v>
      </c>
      <c r="C6" s="7"/>
      <c r="D6" s="12">
        <f>SUM(D5:D5)</f>
        <v>17465000</v>
      </c>
      <c r="E6" s="7"/>
      <c r="F6"/>
      <c r="G6"/>
    </row>
    <row r="7" spans="1:7" x14ac:dyDescent="0.25">
      <c r="E7"/>
      <c r="F7"/>
      <c r="G7"/>
    </row>
    <row r="8" spans="1:7" x14ac:dyDescent="0.25">
      <c r="A8" s="5" t="s">
        <v>35</v>
      </c>
      <c r="B8" s="5"/>
      <c r="C8" s="5"/>
      <c r="D8" s="5"/>
      <c r="E8" s="5"/>
      <c r="F8"/>
      <c r="G8"/>
    </row>
    <row r="9" spans="1:7" x14ac:dyDescent="0.25">
      <c r="A9" s="6" t="s">
        <v>36</v>
      </c>
      <c r="B9" s="6" t="s">
        <v>37</v>
      </c>
      <c r="C9" s="6" t="s">
        <v>38</v>
      </c>
      <c r="D9" s="6" t="s">
        <v>2</v>
      </c>
      <c r="E9" s="6" t="s">
        <v>27</v>
      </c>
      <c r="F9"/>
      <c r="G9"/>
    </row>
    <row r="10" spans="1:7" x14ac:dyDescent="0.25">
      <c r="A10" t="s">
        <v>39</v>
      </c>
      <c r="B10" t="s">
        <v>90</v>
      </c>
      <c r="D10" s="16">
        <v>1715000</v>
      </c>
      <c r="E10"/>
      <c r="F10"/>
      <c r="G10"/>
    </row>
    <row r="11" spans="1:7" x14ac:dyDescent="0.25">
      <c r="A11" t="s">
        <v>44</v>
      </c>
      <c r="B11" t="s">
        <v>91</v>
      </c>
      <c r="D11" s="16">
        <v>6000000</v>
      </c>
      <c r="E11"/>
      <c r="F11"/>
      <c r="G11"/>
    </row>
    <row r="12" spans="1:7" x14ac:dyDescent="0.25">
      <c r="A12" t="s">
        <v>49</v>
      </c>
      <c r="B12" t="s">
        <v>50</v>
      </c>
      <c r="C12" s="20">
        <v>1.5</v>
      </c>
      <c r="D12" s="11">
        <f>C12*6500000</f>
        <v>9750000</v>
      </c>
      <c r="E12" t="s">
        <v>92</v>
      </c>
      <c r="F12"/>
      <c r="G12"/>
    </row>
    <row r="13" spans="1:7" x14ac:dyDescent="0.25">
      <c r="A13" s="7" t="s">
        <v>51</v>
      </c>
      <c r="B13" s="7"/>
      <c r="C13" s="7"/>
      <c r="D13" s="12">
        <f>SUM(D10:D12)</f>
        <v>17465000</v>
      </c>
      <c r="E13" s="7"/>
      <c r="F13"/>
      <c r="G13"/>
    </row>
    <row r="14" spans="1:7" x14ac:dyDescent="0.25">
      <c r="E14"/>
      <c r="F14"/>
      <c r="G14"/>
    </row>
    <row r="15" spans="1:7" x14ac:dyDescent="0.25">
      <c r="A15" s="5" t="s">
        <v>52</v>
      </c>
      <c r="B15" s="5"/>
      <c r="C15" s="5"/>
      <c r="D15" s="5"/>
      <c r="E15" s="5"/>
      <c r="F15"/>
      <c r="G15"/>
    </row>
    <row r="16" spans="1:7" x14ac:dyDescent="0.25">
      <c r="A16" t="s">
        <v>53</v>
      </c>
      <c r="D16" s="11">
        <f>D6</f>
        <v>17465000</v>
      </c>
      <c r="E16"/>
      <c r="F16"/>
      <c r="G16"/>
    </row>
    <row r="17" spans="1:7" x14ac:dyDescent="0.25">
      <c r="A17" t="s">
        <v>54</v>
      </c>
      <c r="D17" s="11">
        <f>SUMIF($A$10:$A$12,"Evento",$D$10:$D$12)</f>
        <v>1715000</v>
      </c>
      <c r="E17"/>
      <c r="F17"/>
      <c r="G17"/>
    </row>
    <row r="18" spans="1:7" x14ac:dyDescent="0.25">
      <c r="A18" t="s">
        <v>55</v>
      </c>
      <c r="D18" s="11">
        <f>SUMIF($A$10:$A$12,"Incentivo",$D$10:$D$12)</f>
        <v>6000000</v>
      </c>
      <c r="E18"/>
      <c r="F18"/>
      <c r="G18"/>
    </row>
    <row r="19" spans="1:7" x14ac:dyDescent="0.25">
      <c r="A19" t="s">
        <v>56</v>
      </c>
      <c r="D19" s="11">
        <f>SUMIF($A$10:$A$12,"Rio",$D$10:$D$12)</f>
        <v>9750000</v>
      </c>
      <c r="E19"/>
      <c r="F19"/>
      <c r="G19"/>
    </row>
    <row r="20" spans="1:7" x14ac:dyDescent="0.25">
      <c r="A20" t="s">
        <v>57</v>
      </c>
      <c r="D20" s="11">
        <f>D13</f>
        <v>17465000</v>
      </c>
      <c r="E20"/>
      <c r="F20"/>
      <c r="G20"/>
    </row>
    <row r="21" spans="1:7" x14ac:dyDescent="0.25">
      <c r="A21" s="8" t="s">
        <v>58</v>
      </c>
      <c r="B21" s="8"/>
      <c r="C21" s="8"/>
      <c r="D21" s="13">
        <f>D16-D20</f>
        <v>0</v>
      </c>
      <c r="E21"/>
      <c r="F21"/>
      <c r="G21"/>
    </row>
    <row r="22" spans="1:7" x14ac:dyDescent="0.25">
      <c r="A22" t="s">
        <v>59</v>
      </c>
      <c r="D22" s="11">
        <f>D21*10%</f>
        <v>0</v>
      </c>
      <c r="E22"/>
      <c r="F22"/>
      <c r="G22"/>
    </row>
    <row r="23" spans="1:7" x14ac:dyDescent="0.25">
      <c r="E23"/>
      <c r="F23"/>
      <c r="G23"/>
    </row>
    <row r="24" spans="1:7" x14ac:dyDescent="0.25">
      <c r="A24" s="9" t="s">
        <v>93</v>
      </c>
      <c r="E24"/>
      <c r="F24"/>
      <c r="G24"/>
    </row>
    <row r="25" spans="1:7" x14ac:dyDescent="0.25">
      <c r="E25"/>
      <c r="F25"/>
      <c r="G25"/>
    </row>
    <row r="26" spans="1:7" x14ac:dyDescent="0.25">
      <c r="E26"/>
      <c r="F26"/>
      <c r="G26"/>
    </row>
    <row r="27" spans="1:7" x14ac:dyDescent="0.25">
      <c r="E27"/>
      <c r="F27"/>
      <c r="G27"/>
    </row>
    <row r="28" spans="1:7" x14ac:dyDescent="0.25">
      <c r="E28"/>
      <c r="F28"/>
      <c r="G28"/>
    </row>
    <row r="29" spans="1:7" x14ac:dyDescent="0.25">
      <c r="E29"/>
      <c r="F29"/>
      <c r="G29"/>
    </row>
    <row r="30" spans="1:7" x14ac:dyDescent="0.25">
      <c r="E30"/>
      <c r="F30"/>
      <c r="G30"/>
    </row>
    <row r="31" spans="1:7" x14ac:dyDescent="0.25">
      <c r="E31"/>
      <c r="F31"/>
      <c r="G31"/>
    </row>
    <row r="32" spans="1:7" x14ac:dyDescent="0.25">
      <c r="E32"/>
      <c r="F32"/>
      <c r="G32"/>
    </row>
    <row r="33" spans="5:7" x14ac:dyDescent="0.25">
      <c r="E33"/>
      <c r="F33"/>
      <c r="G33"/>
    </row>
    <row r="34" spans="5:7" x14ac:dyDescent="0.25">
      <c r="E34"/>
      <c r="F34"/>
      <c r="G34"/>
    </row>
    <row r="35" spans="5:7" x14ac:dyDescent="0.25">
      <c r="E35"/>
      <c r="F35"/>
      <c r="G35"/>
    </row>
    <row r="36" spans="5:7" x14ac:dyDescent="0.25">
      <c r="E36"/>
      <c r="F36"/>
      <c r="G36"/>
    </row>
    <row r="37" spans="5:7" x14ac:dyDescent="0.25">
      <c r="E37"/>
      <c r="F37"/>
      <c r="G37"/>
    </row>
    <row r="38" spans="5:7" x14ac:dyDescent="0.25">
      <c r="E38"/>
      <c r="F38"/>
      <c r="G38"/>
    </row>
    <row r="39" spans="5:7" x14ac:dyDescent="0.25">
      <c r="E39"/>
      <c r="F39"/>
      <c r="G39"/>
    </row>
    <row r="40" spans="5:7" x14ac:dyDescent="0.25">
      <c r="E40"/>
      <c r="F40"/>
      <c r="G40"/>
    </row>
    <row r="41" spans="5:7" x14ac:dyDescent="0.25">
      <c r="E41"/>
      <c r="F41"/>
      <c r="G41"/>
    </row>
    <row r="42" spans="5:7" x14ac:dyDescent="0.25">
      <c r="E42"/>
      <c r="F42"/>
      <c r="G42"/>
    </row>
    <row r="43" spans="5:7" x14ac:dyDescent="0.25">
      <c r="E43"/>
      <c r="F43"/>
      <c r="G43"/>
    </row>
    <row r="44" spans="5:7" x14ac:dyDescent="0.25">
      <c r="E44"/>
      <c r="F44"/>
      <c r="G44"/>
    </row>
    <row r="45" spans="5:7" x14ac:dyDescent="0.25">
      <c r="E45"/>
      <c r="F45"/>
      <c r="G45"/>
    </row>
    <row r="46" spans="5:7" x14ac:dyDescent="0.25">
      <c r="E46"/>
      <c r="F46"/>
      <c r="G46"/>
    </row>
    <row r="47" spans="5:7" x14ac:dyDescent="0.25">
      <c r="E47"/>
      <c r="F47"/>
      <c r="G47"/>
    </row>
    <row r="48" spans="5:7" x14ac:dyDescent="0.25">
      <c r="E48"/>
      <c r="F48"/>
      <c r="G48"/>
    </row>
    <row r="49" spans="5:7" x14ac:dyDescent="0.25">
      <c r="E49"/>
      <c r="F49"/>
      <c r="G49"/>
    </row>
    <row r="50" spans="5:7" x14ac:dyDescent="0.25">
      <c r="E50"/>
      <c r="F50"/>
      <c r="G50"/>
    </row>
    <row r="51" spans="5:7" x14ac:dyDescent="0.25">
      <c r="E51"/>
      <c r="F51"/>
      <c r="G51"/>
    </row>
    <row r="52" spans="5:7" x14ac:dyDescent="0.25">
      <c r="E52"/>
      <c r="F52"/>
      <c r="G52"/>
    </row>
    <row r="53" spans="5:7" x14ac:dyDescent="0.25">
      <c r="E53"/>
      <c r="F53"/>
      <c r="G53"/>
    </row>
    <row r="54" spans="5:7" x14ac:dyDescent="0.25">
      <c r="E54"/>
      <c r="F54"/>
      <c r="G54"/>
    </row>
    <row r="55" spans="5:7" x14ac:dyDescent="0.25">
      <c r="E55"/>
      <c r="F55"/>
      <c r="G55"/>
    </row>
    <row r="56" spans="5:7" x14ac:dyDescent="0.25">
      <c r="E56"/>
      <c r="F56"/>
      <c r="G56"/>
    </row>
    <row r="57" spans="5:7" x14ac:dyDescent="0.25">
      <c r="E57"/>
      <c r="F57"/>
      <c r="G57"/>
    </row>
    <row r="58" spans="5:7" x14ac:dyDescent="0.25">
      <c r="E58"/>
      <c r="F58"/>
      <c r="G58"/>
    </row>
    <row r="59" spans="5:7" x14ac:dyDescent="0.25">
      <c r="E59"/>
      <c r="F59"/>
      <c r="G59"/>
    </row>
    <row r="60" spans="5:7" x14ac:dyDescent="0.25">
      <c r="E60"/>
      <c r="F60"/>
      <c r="G60"/>
    </row>
  </sheetData>
  <mergeCells count="4">
    <mergeCell ref="A1:E1"/>
    <mergeCell ref="A3:E3"/>
    <mergeCell ref="A8:E8"/>
    <mergeCell ref="A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5DD4-EBCF-4D49-9513-D2E839C37093}">
  <dimension ref="A1:E21"/>
  <sheetViews>
    <sheetView tabSelected="1" workbookViewId="0">
      <selection activeCell="C7" sqref="C7"/>
    </sheetView>
  </sheetViews>
  <sheetFormatPr baseColWidth="10" defaultRowHeight="15" x14ac:dyDescent="0.25"/>
  <cols>
    <col min="1" max="1" width="164.7109375" bestFit="1" customWidth="1"/>
    <col min="2" max="2" width="25.42578125" bestFit="1" customWidth="1"/>
    <col min="3" max="3" width="13.7109375" bestFit="1" customWidth="1"/>
    <col min="4" max="4" width="11.5703125" bestFit="1" customWidth="1"/>
    <col min="5" max="5" width="28.7109375" bestFit="1" customWidth="1"/>
  </cols>
  <sheetData>
    <row r="1" spans="1:5" ht="18.75" x14ac:dyDescent="0.3">
      <c r="A1" s="3" t="s">
        <v>101</v>
      </c>
      <c r="B1" s="3"/>
      <c r="C1" s="3"/>
      <c r="D1" s="3"/>
      <c r="E1" s="3"/>
    </row>
    <row r="3" spans="1:5" x14ac:dyDescent="0.25">
      <c r="A3" s="5" t="s">
        <v>32</v>
      </c>
      <c r="B3" s="5"/>
      <c r="C3" s="5"/>
      <c r="D3" s="5"/>
      <c r="E3" s="5"/>
    </row>
    <row r="4" spans="1:5" x14ac:dyDescent="0.25">
      <c r="A4" s="6" t="s">
        <v>102</v>
      </c>
      <c r="B4" s="6" t="s">
        <v>1</v>
      </c>
      <c r="C4" s="6" t="s">
        <v>14</v>
      </c>
      <c r="D4" s="6" t="s">
        <v>2</v>
      </c>
      <c r="E4" s="6" t="s">
        <v>27</v>
      </c>
    </row>
    <row r="5" spans="1:5" x14ac:dyDescent="0.25">
      <c r="A5" t="s">
        <v>23</v>
      </c>
      <c r="B5" s="14">
        <v>3000</v>
      </c>
      <c r="C5" s="15">
        <v>3500</v>
      </c>
      <c r="D5" s="11">
        <f>B5*C5</f>
        <v>10500000</v>
      </c>
      <c r="E5" t="s">
        <v>103</v>
      </c>
    </row>
    <row r="6" spans="1:5" x14ac:dyDescent="0.25">
      <c r="A6" t="s">
        <v>104</v>
      </c>
      <c r="B6" s="14">
        <v>4876</v>
      </c>
      <c r="C6" s="15">
        <v>3500</v>
      </c>
      <c r="D6" s="11">
        <f>B6*C6</f>
        <v>17066000</v>
      </c>
      <c r="E6" t="s">
        <v>103</v>
      </c>
    </row>
    <row r="7" spans="1:5" x14ac:dyDescent="0.25">
      <c r="A7" s="7" t="s">
        <v>34</v>
      </c>
      <c r="B7" s="10">
        <f>SUM(B5:B6)</f>
        <v>7876</v>
      </c>
      <c r="C7" s="7"/>
      <c r="D7" s="12">
        <f>SUM(D5:D6)</f>
        <v>27566000</v>
      </c>
      <c r="E7" s="7"/>
    </row>
    <row r="9" spans="1:5" x14ac:dyDescent="0.25">
      <c r="A9" s="5" t="s">
        <v>35</v>
      </c>
      <c r="B9" s="5"/>
      <c r="C9" s="5"/>
      <c r="D9" s="5"/>
      <c r="E9" s="5"/>
    </row>
    <row r="10" spans="1:5" x14ac:dyDescent="0.25">
      <c r="A10" s="6" t="s">
        <v>36</v>
      </c>
      <c r="B10" s="6" t="s">
        <v>37</v>
      </c>
      <c r="C10" s="6" t="s">
        <v>38</v>
      </c>
      <c r="D10" s="6" t="s">
        <v>2</v>
      </c>
      <c r="E10" s="6" t="s">
        <v>27</v>
      </c>
    </row>
    <row r="11" spans="1:5" x14ac:dyDescent="0.25">
      <c r="B11" t="s">
        <v>105</v>
      </c>
      <c r="D11" s="16">
        <v>0</v>
      </c>
    </row>
    <row r="12" spans="1:5" x14ac:dyDescent="0.25">
      <c r="A12" s="7" t="s">
        <v>51</v>
      </c>
      <c r="B12" s="7"/>
      <c r="C12" s="7"/>
      <c r="D12" s="12">
        <f>SUM(D11:D11)</f>
        <v>0</v>
      </c>
      <c r="E12" s="7"/>
    </row>
    <row r="14" spans="1:5" x14ac:dyDescent="0.25">
      <c r="A14" s="5" t="s">
        <v>52</v>
      </c>
      <c r="B14" s="5"/>
      <c r="C14" s="5"/>
      <c r="D14" s="5"/>
      <c r="E14" s="5"/>
    </row>
    <row r="15" spans="1:5" x14ac:dyDescent="0.25">
      <c r="A15" t="s">
        <v>53</v>
      </c>
      <c r="D15" s="11">
        <f>D7</f>
        <v>27566000</v>
      </c>
    </row>
    <row r="16" spans="1:5" x14ac:dyDescent="0.25">
      <c r="A16" t="s">
        <v>57</v>
      </c>
      <c r="D16" s="11">
        <f>D12</f>
        <v>0</v>
      </c>
    </row>
    <row r="17" spans="1:4" x14ac:dyDescent="0.25">
      <c r="A17" s="8" t="s">
        <v>58</v>
      </c>
      <c r="B17" s="8"/>
      <c r="C17" s="8"/>
      <c r="D17" s="13">
        <f>D15-D16</f>
        <v>27566000</v>
      </c>
    </row>
    <row r="18" spans="1:4" x14ac:dyDescent="0.25">
      <c r="A18" t="s">
        <v>59</v>
      </c>
      <c r="D18" s="11">
        <f>D17*10%</f>
        <v>2756600</v>
      </c>
    </row>
    <row r="21" spans="1:4" x14ac:dyDescent="0.25">
      <c r="A21" s="9" t="s">
        <v>106</v>
      </c>
    </row>
  </sheetData>
  <mergeCells count="4">
    <mergeCell ref="A1:E1"/>
    <mergeCell ref="A3:E3"/>
    <mergeCell ref="A9:E9"/>
    <mergeCell ref="A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1A1E-DD1B-4BBF-B0DA-DF124C04219F}">
  <dimension ref="A1:E60"/>
  <sheetViews>
    <sheetView workbookViewId="0">
      <selection activeCell="C7" sqref="C7"/>
    </sheetView>
  </sheetViews>
  <sheetFormatPr baseColWidth="10" defaultRowHeight="15" x14ac:dyDescent="0.25"/>
  <cols>
    <col min="1" max="1" width="138" bestFit="1" customWidth="1"/>
    <col min="2" max="2" width="47.5703125" style="1" customWidth="1"/>
    <col min="3" max="3" width="13.7109375" bestFit="1" customWidth="1"/>
    <col min="4" max="4" width="11.5703125" style="1" bestFit="1" customWidth="1"/>
    <col min="5" max="5" width="57.7109375" bestFit="1" customWidth="1"/>
    <col min="7" max="7" width="24.28515625" bestFit="1" customWidth="1"/>
    <col min="8" max="8" width="14.140625" bestFit="1" customWidth="1"/>
    <col min="10" max="10" width="15.140625" bestFit="1" customWidth="1"/>
  </cols>
  <sheetData>
    <row r="1" spans="1:5" ht="18.75" x14ac:dyDescent="0.3">
      <c r="A1" s="3" t="s">
        <v>94</v>
      </c>
      <c r="B1" s="3"/>
      <c r="C1" s="3"/>
      <c r="D1" s="3"/>
      <c r="E1" s="3"/>
    </row>
    <row r="2" spans="1:5" x14ac:dyDescent="0.25">
      <c r="B2"/>
      <c r="D2"/>
    </row>
    <row r="3" spans="1:5" x14ac:dyDescent="0.25">
      <c r="A3" s="5" t="s">
        <v>32</v>
      </c>
      <c r="B3" s="5"/>
      <c r="C3" s="5"/>
      <c r="D3" s="5"/>
      <c r="E3" s="5"/>
    </row>
    <row r="4" spans="1:5" x14ac:dyDescent="0.25">
      <c r="A4" s="6" t="s">
        <v>33</v>
      </c>
      <c r="B4" s="6" t="s">
        <v>1</v>
      </c>
      <c r="C4" s="6" t="s">
        <v>14</v>
      </c>
      <c r="D4" s="6" t="s">
        <v>2</v>
      </c>
      <c r="E4" s="6" t="s">
        <v>27</v>
      </c>
    </row>
    <row r="5" spans="1:5" x14ac:dyDescent="0.25">
      <c r="A5" t="s">
        <v>95</v>
      </c>
      <c r="B5" s="14">
        <v>3000</v>
      </c>
      <c r="C5" s="23">
        <f>D5/B5</f>
        <v>3333.3333333333335</v>
      </c>
      <c r="D5" s="16">
        <v>10000000</v>
      </c>
      <c r="E5" t="s">
        <v>113</v>
      </c>
    </row>
    <row r="6" spans="1:5" x14ac:dyDescent="0.25">
      <c r="A6" s="7" t="s">
        <v>34</v>
      </c>
      <c r="B6" s="10">
        <f>SUM(B5:B5)</f>
        <v>3000</v>
      </c>
      <c r="C6" s="7"/>
      <c r="D6" s="12">
        <f>SUM(D5:D5)</f>
        <v>10000000</v>
      </c>
      <c r="E6" s="7"/>
    </row>
    <row r="7" spans="1:5" x14ac:dyDescent="0.25">
      <c r="B7"/>
      <c r="D7"/>
    </row>
    <row r="8" spans="1:5" x14ac:dyDescent="0.25">
      <c r="A8" s="5" t="s">
        <v>35</v>
      </c>
      <c r="B8" s="5"/>
      <c r="C8" s="5"/>
      <c r="D8" s="5"/>
      <c r="E8" s="5"/>
    </row>
    <row r="9" spans="1:5" x14ac:dyDescent="0.25">
      <c r="A9" s="6" t="s">
        <v>36</v>
      </c>
      <c r="B9" s="6" t="s">
        <v>37</v>
      </c>
      <c r="C9" s="6" t="s">
        <v>38</v>
      </c>
      <c r="D9" s="6" t="s">
        <v>2</v>
      </c>
      <c r="E9" s="6" t="s">
        <v>27</v>
      </c>
    </row>
    <row r="10" spans="1:5" x14ac:dyDescent="0.25">
      <c r="A10" t="s">
        <v>49</v>
      </c>
      <c r="B10" t="s">
        <v>50</v>
      </c>
      <c r="C10" s="20">
        <v>1.5</v>
      </c>
      <c r="D10" s="11">
        <f>C10*6500000</f>
        <v>9750000</v>
      </c>
      <c r="E10" t="s">
        <v>96</v>
      </c>
    </row>
    <row r="11" spans="1:5" x14ac:dyDescent="0.25">
      <c r="A11" t="s">
        <v>97</v>
      </c>
      <c r="B11" t="s">
        <v>98</v>
      </c>
      <c r="D11" s="11">
        <f>D6-D10</f>
        <v>250000</v>
      </c>
    </row>
    <row r="12" spans="1:5" x14ac:dyDescent="0.25">
      <c r="A12" s="7" t="s">
        <v>51</v>
      </c>
      <c r="B12" s="7"/>
      <c r="C12" s="7"/>
      <c r="D12" s="12">
        <f>SUM(D10:D11)</f>
        <v>10000000</v>
      </c>
      <c r="E12" s="7"/>
    </row>
    <row r="13" spans="1:5" x14ac:dyDescent="0.25">
      <c r="B13"/>
      <c r="D13"/>
    </row>
    <row r="14" spans="1:5" x14ac:dyDescent="0.25">
      <c r="A14" s="5" t="s">
        <v>52</v>
      </c>
      <c r="B14" s="5"/>
      <c r="C14" s="5"/>
      <c r="D14" s="5"/>
      <c r="E14" s="5"/>
    </row>
    <row r="15" spans="1:5" x14ac:dyDescent="0.25">
      <c r="A15" t="s">
        <v>53</v>
      </c>
      <c r="B15"/>
      <c r="D15" s="11">
        <f>D6</f>
        <v>10000000</v>
      </c>
    </row>
    <row r="16" spans="1:5" x14ac:dyDescent="0.25">
      <c r="A16" t="s">
        <v>56</v>
      </c>
      <c r="B16"/>
      <c r="D16" s="11">
        <f>SUMIF($A$10:$A$11,"Rio",$D$10:$D$11)</f>
        <v>9750000</v>
      </c>
    </row>
    <row r="17" spans="1:4" x14ac:dyDescent="0.25">
      <c r="A17" t="s">
        <v>99</v>
      </c>
      <c r="B17"/>
      <c r="D17" s="11">
        <f>SUMIF($A$10:$A$11,"Otro",$D$10:$D$11)</f>
        <v>250000</v>
      </c>
    </row>
    <row r="18" spans="1:4" x14ac:dyDescent="0.25">
      <c r="A18" t="s">
        <v>57</v>
      </c>
      <c r="B18"/>
      <c r="D18" s="11">
        <f>D12</f>
        <v>10000000</v>
      </c>
    </row>
    <row r="19" spans="1:4" x14ac:dyDescent="0.25">
      <c r="A19" s="8" t="s">
        <v>58</v>
      </c>
      <c r="B19" s="8"/>
      <c r="C19" s="8"/>
      <c r="D19" s="13">
        <f>D15-D18</f>
        <v>0</v>
      </c>
    </row>
    <row r="20" spans="1:4" x14ac:dyDescent="0.25">
      <c r="B20"/>
      <c r="D20"/>
    </row>
    <row r="21" spans="1:4" x14ac:dyDescent="0.25">
      <c r="B21"/>
      <c r="D21"/>
    </row>
    <row r="22" spans="1:4" x14ac:dyDescent="0.25">
      <c r="A22" s="9" t="s">
        <v>100</v>
      </c>
      <c r="B22"/>
      <c r="D22"/>
    </row>
    <row r="23" spans="1:4" x14ac:dyDescent="0.25">
      <c r="B23"/>
      <c r="D23"/>
    </row>
    <row r="24" spans="1:4" x14ac:dyDescent="0.25">
      <c r="B24"/>
      <c r="D24"/>
    </row>
    <row r="25" spans="1:4" x14ac:dyDescent="0.25">
      <c r="B25"/>
      <c r="D25"/>
    </row>
    <row r="26" spans="1:4" x14ac:dyDescent="0.25">
      <c r="B26"/>
      <c r="D26"/>
    </row>
    <row r="27" spans="1:4" x14ac:dyDescent="0.25">
      <c r="B27"/>
      <c r="D27"/>
    </row>
    <row r="28" spans="1:4" x14ac:dyDescent="0.25">
      <c r="B28"/>
      <c r="D28"/>
    </row>
    <row r="29" spans="1:4" x14ac:dyDescent="0.25">
      <c r="B29"/>
      <c r="D29"/>
    </row>
    <row r="30" spans="1:4" x14ac:dyDescent="0.25">
      <c r="B30"/>
      <c r="D30"/>
    </row>
    <row r="31" spans="1:4" x14ac:dyDescent="0.25">
      <c r="B31"/>
      <c r="D31"/>
    </row>
    <row r="32" spans="1:4" x14ac:dyDescent="0.25">
      <c r="B32"/>
      <c r="D32"/>
    </row>
    <row r="33" spans="2:4" x14ac:dyDescent="0.25">
      <c r="B33"/>
      <c r="D33"/>
    </row>
    <row r="34" spans="2:4" x14ac:dyDescent="0.25">
      <c r="B34"/>
      <c r="D34"/>
    </row>
    <row r="35" spans="2:4" x14ac:dyDescent="0.25">
      <c r="B35"/>
      <c r="D35"/>
    </row>
    <row r="36" spans="2:4" x14ac:dyDescent="0.25">
      <c r="B36"/>
      <c r="D36"/>
    </row>
    <row r="37" spans="2:4" x14ac:dyDescent="0.25">
      <c r="B37"/>
      <c r="D37"/>
    </row>
    <row r="38" spans="2:4" x14ac:dyDescent="0.25">
      <c r="B38"/>
      <c r="D38"/>
    </row>
    <row r="39" spans="2:4" x14ac:dyDescent="0.25">
      <c r="B39"/>
      <c r="D39"/>
    </row>
    <row r="40" spans="2:4" x14ac:dyDescent="0.25">
      <c r="B40"/>
      <c r="D40"/>
    </row>
    <row r="41" spans="2:4" x14ac:dyDescent="0.25">
      <c r="B41"/>
      <c r="D41"/>
    </row>
    <row r="42" spans="2:4" x14ac:dyDescent="0.25">
      <c r="B42"/>
      <c r="D42"/>
    </row>
    <row r="43" spans="2:4" x14ac:dyDescent="0.25">
      <c r="B43"/>
      <c r="D43"/>
    </row>
    <row r="44" spans="2:4" x14ac:dyDescent="0.25">
      <c r="B44"/>
      <c r="D44"/>
    </row>
    <row r="45" spans="2:4" x14ac:dyDescent="0.25">
      <c r="B45"/>
      <c r="D45"/>
    </row>
    <row r="46" spans="2:4" x14ac:dyDescent="0.25">
      <c r="B46"/>
      <c r="D46"/>
    </row>
    <row r="47" spans="2:4" x14ac:dyDescent="0.25">
      <c r="B47"/>
      <c r="D47"/>
    </row>
    <row r="48" spans="2:4" x14ac:dyDescent="0.25">
      <c r="B48"/>
      <c r="D48"/>
    </row>
    <row r="49" spans="2:4" x14ac:dyDescent="0.25">
      <c r="B49"/>
      <c r="D49"/>
    </row>
    <row r="50" spans="2:4" x14ac:dyDescent="0.25">
      <c r="B50"/>
      <c r="D50"/>
    </row>
    <row r="51" spans="2:4" x14ac:dyDescent="0.25">
      <c r="B51"/>
      <c r="D51"/>
    </row>
    <row r="52" spans="2:4" x14ac:dyDescent="0.25">
      <c r="B52"/>
      <c r="D52"/>
    </row>
    <row r="53" spans="2:4" x14ac:dyDescent="0.25">
      <c r="B53"/>
      <c r="D53"/>
    </row>
    <row r="54" spans="2:4" x14ac:dyDescent="0.25">
      <c r="B54"/>
      <c r="D54"/>
    </row>
    <row r="55" spans="2:4" x14ac:dyDescent="0.25">
      <c r="B55"/>
      <c r="D55"/>
    </row>
    <row r="56" spans="2:4" x14ac:dyDescent="0.25">
      <c r="B56"/>
      <c r="D56"/>
    </row>
    <row r="57" spans="2:4" x14ac:dyDescent="0.25">
      <c r="B57"/>
      <c r="D57"/>
    </row>
    <row r="58" spans="2:4" x14ac:dyDescent="0.25">
      <c r="B58"/>
      <c r="D58"/>
    </row>
    <row r="59" spans="2:4" x14ac:dyDescent="0.25">
      <c r="B59"/>
      <c r="D59"/>
    </row>
    <row r="60" spans="2:4" x14ac:dyDescent="0.25">
      <c r="B60"/>
      <c r="D60"/>
    </row>
  </sheetData>
  <mergeCells count="4">
    <mergeCell ref="A1:E1"/>
    <mergeCell ref="A3:E3"/>
    <mergeCell ref="A8:E8"/>
    <mergeCell ref="A14:E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CAD8-FDEE-4D57-927E-8E92907858CD}">
  <dimension ref="A1:H60"/>
  <sheetViews>
    <sheetView workbookViewId="0">
      <selection activeCell="C7" sqref="C7"/>
    </sheetView>
  </sheetViews>
  <sheetFormatPr baseColWidth="10" defaultRowHeight="15" x14ac:dyDescent="0.25"/>
  <cols>
    <col min="1" max="1" width="196.140625" bestFit="1" customWidth="1"/>
    <col min="2" max="2" width="8" bestFit="1" customWidth="1"/>
    <col min="3" max="3" width="10.42578125" bestFit="1" customWidth="1"/>
    <col min="4" max="4" width="5.5703125" bestFit="1" customWidth="1"/>
    <col min="5" max="5" width="29.7109375" style="1" bestFit="1" customWidth="1"/>
    <col min="6" max="8" width="15.5703125" style="1" bestFit="1" customWidth="1"/>
  </cols>
  <sheetData>
    <row r="1" spans="1:8" ht="18.75" x14ac:dyDescent="0.3">
      <c r="A1" s="3" t="s">
        <v>107</v>
      </c>
      <c r="B1" s="3"/>
      <c r="C1" s="3"/>
      <c r="D1" s="3"/>
      <c r="E1" s="3"/>
      <c r="F1"/>
      <c r="G1"/>
      <c r="H1"/>
    </row>
    <row r="2" spans="1:8" x14ac:dyDescent="0.25">
      <c r="E2"/>
      <c r="F2"/>
      <c r="G2"/>
      <c r="H2"/>
    </row>
    <row r="3" spans="1:8" x14ac:dyDescent="0.25">
      <c r="A3" s="5" t="s">
        <v>32</v>
      </c>
      <c r="B3" s="5"/>
      <c r="C3" s="5"/>
      <c r="D3" s="5"/>
      <c r="E3" s="5"/>
      <c r="F3"/>
      <c r="G3"/>
      <c r="H3"/>
    </row>
    <row r="4" spans="1:8" x14ac:dyDescent="0.25">
      <c r="A4" s="6" t="s">
        <v>33</v>
      </c>
      <c r="B4" s="6" t="s">
        <v>1</v>
      </c>
      <c r="C4" s="6" t="s">
        <v>14</v>
      </c>
      <c r="D4" s="6" t="s">
        <v>2</v>
      </c>
      <c r="E4" s="6" t="s">
        <v>27</v>
      </c>
      <c r="F4"/>
      <c r="G4"/>
      <c r="H4"/>
    </row>
    <row r="5" spans="1:8" x14ac:dyDescent="0.25">
      <c r="D5" s="11">
        <v>0</v>
      </c>
      <c r="E5" t="s">
        <v>108</v>
      </c>
      <c r="F5"/>
      <c r="G5"/>
      <c r="H5"/>
    </row>
    <row r="6" spans="1:8" x14ac:dyDescent="0.25">
      <c r="A6" s="7" t="s">
        <v>34</v>
      </c>
      <c r="B6" s="7"/>
      <c r="C6" s="7"/>
      <c r="D6" s="12">
        <f>SUM(D5:D5)</f>
        <v>0</v>
      </c>
      <c r="E6" s="7"/>
      <c r="F6"/>
      <c r="G6"/>
      <c r="H6"/>
    </row>
    <row r="7" spans="1:8" x14ac:dyDescent="0.25">
      <c r="E7"/>
      <c r="F7"/>
      <c r="G7"/>
      <c r="H7"/>
    </row>
    <row r="8" spans="1:8" x14ac:dyDescent="0.25">
      <c r="A8" s="5" t="s">
        <v>35</v>
      </c>
      <c r="B8" s="5"/>
      <c r="C8" s="5"/>
      <c r="D8" s="5"/>
      <c r="E8" s="5"/>
      <c r="F8"/>
      <c r="G8"/>
      <c r="H8"/>
    </row>
    <row r="9" spans="1:8" x14ac:dyDescent="0.25">
      <c r="A9" s="6" t="s">
        <v>22</v>
      </c>
      <c r="B9" s="6" t="s">
        <v>33</v>
      </c>
      <c r="C9" s="6" t="s">
        <v>1</v>
      </c>
      <c r="D9" s="6" t="s">
        <v>14</v>
      </c>
      <c r="E9" s="6" t="s">
        <v>2</v>
      </c>
      <c r="F9"/>
      <c r="G9"/>
      <c r="H9"/>
    </row>
    <row r="10" spans="1:8" x14ac:dyDescent="0.25">
      <c r="A10" t="s">
        <v>0</v>
      </c>
      <c r="B10" t="s">
        <v>9</v>
      </c>
      <c r="C10" s="14">
        <v>2000</v>
      </c>
      <c r="D10" s="15">
        <v>3500</v>
      </c>
      <c r="E10" s="11">
        <f>C10*D10</f>
        <v>7000000</v>
      </c>
      <c r="F10"/>
      <c r="G10"/>
      <c r="H10"/>
    </row>
    <row r="11" spans="1:8" x14ac:dyDescent="0.25">
      <c r="A11" t="s">
        <v>0</v>
      </c>
      <c r="B11" t="s">
        <v>10</v>
      </c>
      <c r="C11" s="14">
        <v>2000</v>
      </c>
      <c r="D11" s="15">
        <v>3500</v>
      </c>
      <c r="E11" s="11">
        <f>C11*D11</f>
        <v>7000000</v>
      </c>
      <c r="F11"/>
      <c r="G11"/>
      <c r="H11"/>
    </row>
    <row r="12" spans="1:8" x14ac:dyDescent="0.25">
      <c r="A12" t="s">
        <v>109</v>
      </c>
      <c r="B12" t="s">
        <v>9</v>
      </c>
      <c r="C12" s="14">
        <v>2000</v>
      </c>
      <c r="D12" s="15">
        <v>3500</v>
      </c>
      <c r="E12" s="11">
        <f>C12*D12</f>
        <v>7000000</v>
      </c>
      <c r="F12"/>
      <c r="G12"/>
      <c r="H12"/>
    </row>
    <row r="13" spans="1:8" x14ac:dyDescent="0.25">
      <c r="A13" t="s">
        <v>109</v>
      </c>
      <c r="B13" t="s">
        <v>10</v>
      </c>
      <c r="C13" s="14">
        <v>2000</v>
      </c>
      <c r="D13" s="15">
        <v>3500</v>
      </c>
      <c r="E13" s="11">
        <f>C13*D13</f>
        <v>7000000</v>
      </c>
      <c r="F13"/>
      <c r="G13"/>
      <c r="H13"/>
    </row>
    <row r="14" spans="1:8" x14ac:dyDescent="0.25">
      <c r="A14" s="9" t="s">
        <v>110</v>
      </c>
      <c r="B14" s="9"/>
      <c r="C14" s="21">
        <f>SUMIF($A$10:$A$13,"HP",$C$10:$C$13)</f>
        <v>4000</v>
      </c>
      <c r="D14" s="9"/>
      <c r="E14" s="22">
        <f>SUMIF($A$10:$A$13,"HP",$E$10:$E$13)</f>
        <v>14000000</v>
      </c>
      <c r="F14"/>
      <c r="G14"/>
      <c r="H14"/>
    </row>
    <row r="15" spans="1:8" x14ac:dyDescent="0.25">
      <c r="A15" s="9" t="s">
        <v>111</v>
      </c>
      <c r="B15" s="9"/>
      <c r="C15" s="21">
        <f>SUMIF($A$10:$A$13,"DELL",$C$10:$C$13)</f>
        <v>4000</v>
      </c>
      <c r="D15" s="9"/>
      <c r="E15" s="22">
        <f>SUMIF($A$10:$A$13,"DELL",$E$10:$E$13)</f>
        <v>14000000</v>
      </c>
      <c r="F15"/>
      <c r="G15"/>
      <c r="H15"/>
    </row>
    <row r="16" spans="1:8" x14ac:dyDescent="0.25">
      <c r="A16" s="7" t="s">
        <v>51</v>
      </c>
      <c r="B16" s="7"/>
      <c r="C16" s="10">
        <f>SUM(C10:C13)</f>
        <v>8000</v>
      </c>
      <c r="D16" s="7"/>
      <c r="E16" s="12">
        <f>SUM(E10:E13)</f>
        <v>28000000</v>
      </c>
      <c r="F16"/>
      <c r="G16"/>
      <c r="H16"/>
    </row>
    <row r="17" spans="1:8" x14ac:dyDescent="0.25">
      <c r="E17"/>
      <c r="F17"/>
      <c r="G17"/>
      <c r="H17"/>
    </row>
    <row r="18" spans="1:8" x14ac:dyDescent="0.25">
      <c r="A18" s="5" t="s">
        <v>52</v>
      </c>
      <c r="B18" s="5"/>
      <c r="C18" s="5"/>
      <c r="D18" s="5"/>
      <c r="E18" s="5"/>
      <c r="F18"/>
      <c r="G18"/>
      <c r="H18"/>
    </row>
    <row r="19" spans="1:8" x14ac:dyDescent="0.25">
      <c r="A19" t="s">
        <v>53</v>
      </c>
      <c r="E19" s="11">
        <f>D6</f>
        <v>0</v>
      </c>
      <c r="F19"/>
      <c r="G19"/>
      <c r="H19"/>
    </row>
    <row r="20" spans="1:8" x14ac:dyDescent="0.25">
      <c r="A20" t="s">
        <v>57</v>
      </c>
      <c r="E20" s="11">
        <f>E16</f>
        <v>28000000</v>
      </c>
      <c r="F20"/>
      <c r="G20"/>
      <c r="H20"/>
    </row>
    <row r="21" spans="1:8" x14ac:dyDescent="0.25">
      <c r="A21" s="8" t="s">
        <v>58</v>
      </c>
      <c r="B21" s="8"/>
      <c r="C21" s="8"/>
      <c r="D21" s="8"/>
      <c r="E21" s="13">
        <f>E19-E20</f>
        <v>-28000000</v>
      </c>
      <c r="F21"/>
      <c r="G21"/>
      <c r="H21"/>
    </row>
    <row r="22" spans="1:8" x14ac:dyDescent="0.25">
      <c r="E22"/>
      <c r="F22"/>
      <c r="G22"/>
      <c r="H22"/>
    </row>
    <row r="23" spans="1:8" x14ac:dyDescent="0.25">
      <c r="E23"/>
      <c r="F23"/>
      <c r="G23"/>
      <c r="H23"/>
    </row>
    <row r="24" spans="1:8" x14ac:dyDescent="0.25">
      <c r="A24" s="9" t="s">
        <v>112</v>
      </c>
      <c r="E24"/>
      <c r="F24"/>
      <c r="G24"/>
      <c r="H24"/>
    </row>
    <row r="25" spans="1:8" x14ac:dyDescent="0.25">
      <c r="E25"/>
      <c r="F25"/>
      <c r="G25"/>
      <c r="H25"/>
    </row>
    <row r="26" spans="1:8" x14ac:dyDescent="0.25">
      <c r="E26"/>
      <c r="F26"/>
      <c r="G26"/>
      <c r="H26"/>
    </row>
    <row r="27" spans="1:8" x14ac:dyDescent="0.25">
      <c r="E27"/>
      <c r="F27"/>
      <c r="G27"/>
      <c r="H27"/>
    </row>
    <row r="28" spans="1:8" x14ac:dyDescent="0.25">
      <c r="E28"/>
      <c r="F28"/>
      <c r="G28"/>
      <c r="H28"/>
    </row>
    <row r="29" spans="1:8" x14ac:dyDescent="0.25">
      <c r="E29"/>
      <c r="F29"/>
      <c r="G29"/>
      <c r="H29"/>
    </row>
    <row r="30" spans="1:8" x14ac:dyDescent="0.25">
      <c r="E30"/>
      <c r="F30"/>
      <c r="G30"/>
      <c r="H30"/>
    </row>
    <row r="31" spans="1:8" x14ac:dyDescent="0.25">
      <c r="E31"/>
      <c r="F31"/>
      <c r="G31"/>
      <c r="H31"/>
    </row>
    <row r="32" spans="1:8" x14ac:dyDescent="0.25">
      <c r="E32"/>
      <c r="F32"/>
      <c r="G32"/>
      <c r="H32"/>
    </row>
    <row r="33" spans="5:8" x14ac:dyDescent="0.25">
      <c r="E33"/>
      <c r="F33"/>
      <c r="G33"/>
      <c r="H33"/>
    </row>
    <row r="34" spans="5:8" x14ac:dyDescent="0.25">
      <c r="E34"/>
      <c r="F34"/>
      <c r="G34"/>
      <c r="H34"/>
    </row>
    <row r="35" spans="5:8" x14ac:dyDescent="0.25">
      <c r="E35"/>
      <c r="F35"/>
      <c r="G35"/>
      <c r="H35"/>
    </row>
    <row r="36" spans="5:8" x14ac:dyDescent="0.25">
      <c r="E36"/>
      <c r="F36"/>
      <c r="G36"/>
      <c r="H36"/>
    </row>
    <row r="37" spans="5:8" x14ac:dyDescent="0.25">
      <c r="E37"/>
      <c r="F37"/>
      <c r="G37"/>
      <c r="H37"/>
    </row>
    <row r="38" spans="5:8" x14ac:dyDescent="0.25">
      <c r="E38"/>
      <c r="F38"/>
      <c r="G38"/>
      <c r="H38"/>
    </row>
    <row r="39" spans="5:8" x14ac:dyDescent="0.25">
      <c r="E39"/>
      <c r="F39"/>
      <c r="G39"/>
      <c r="H39"/>
    </row>
    <row r="40" spans="5:8" x14ac:dyDescent="0.25">
      <c r="E40"/>
      <c r="F40"/>
      <c r="G40"/>
      <c r="H40"/>
    </row>
    <row r="41" spans="5:8" x14ac:dyDescent="0.25">
      <c r="E41"/>
      <c r="F41"/>
      <c r="G41"/>
      <c r="H41"/>
    </row>
    <row r="42" spans="5:8" x14ac:dyDescent="0.25">
      <c r="E42"/>
      <c r="F42"/>
      <c r="G42"/>
      <c r="H42"/>
    </row>
    <row r="43" spans="5:8" x14ac:dyDescent="0.25">
      <c r="E43"/>
      <c r="F43"/>
      <c r="G43"/>
      <c r="H43"/>
    </row>
    <row r="44" spans="5:8" x14ac:dyDescent="0.25">
      <c r="E44"/>
      <c r="F44"/>
      <c r="G44"/>
      <c r="H44"/>
    </row>
    <row r="45" spans="5:8" x14ac:dyDescent="0.25">
      <c r="E45"/>
      <c r="F45"/>
      <c r="G45"/>
      <c r="H45"/>
    </row>
    <row r="46" spans="5:8" x14ac:dyDescent="0.25">
      <c r="E46"/>
      <c r="F46"/>
      <c r="G46"/>
      <c r="H46"/>
    </row>
    <row r="47" spans="5:8" x14ac:dyDescent="0.25">
      <c r="E47"/>
      <c r="F47"/>
      <c r="G47"/>
      <c r="H47"/>
    </row>
    <row r="48" spans="5:8" x14ac:dyDescent="0.25">
      <c r="E48"/>
      <c r="F48"/>
      <c r="G48"/>
      <c r="H48"/>
    </row>
    <row r="49" spans="5:8" x14ac:dyDescent="0.25">
      <c r="E49"/>
      <c r="F49"/>
      <c r="G49"/>
      <c r="H49"/>
    </row>
    <row r="50" spans="5:8" x14ac:dyDescent="0.25">
      <c r="E50"/>
      <c r="F50"/>
      <c r="G50"/>
      <c r="H50"/>
    </row>
    <row r="51" spans="5:8" x14ac:dyDescent="0.25">
      <c r="E51"/>
      <c r="F51"/>
      <c r="G51"/>
      <c r="H51"/>
    </row>
    <row r="52" spans="5:8" x14ac:dyDescent="0.25">
      <c r="E52"/>
      <c r="F52"/>
      <c r="G52"/>
      <c r="H52"/>
    </row>
    <row r="53" spans="5:8" x14ac:dyDescent="0.25">
      <c r="E53"/>
      <c r="F53"/>
      <c r="G53"/>
      <c r="H53"/>
    </row>
    <row r="54" spans="5:8" x14ac:dyDescent="0.25">
      <c r="E54"/>
      <c r="F54"/>
      <c r="G54"/>
      <c r="H54"/>
    </row>
    <row r="55" spans="5:8" x14ac:dyDescent="0.25">
      <c r="E55"/>
      <c r="F55"/>
      <c r="G55"/>
      <c r="H55"/>
    </row>
    <row r="56" spans="5:8" x14ac:dyDescent="0.25">
      <c r="E56"/>
      <c r="F56"/>
      <c r="G56"/>
      <c r="H56"/>
    </row>
    <row r="57" spans="5:8" x14ac:dyDescent="0.25">
      <c r="E57"/>
      <c r="F57"/>
      <c r="G57"/>
      <c r="H57"/>
    </row>
    <row r="58" spans="5:8" x14ac:dyDescent="0.25">
      <c r="E58"/>
      <c r="F58"/>
      <c r="G58"/>
      <c r="H58"/>
    </row>
    <row r="59" spans="5:8" x14ac:dyDescent="0.25">
      <c r="E59"/>
      <c r="F59"/>
      <c r="G59"/>
      <c r="H59"/>
    </row>
    <row r="60" spans="5:8" x14ac:dyDescent="0.25">
      <c r="E60"/>
      <c r="F60"/>
      <c r="G60"/>
      <c r="H60"/>
    </row>
  </sheetData>
  <mergeCells count="4">
    <mergeCell ref="A1:E1"/>
    <mergeCell ref="A3:E3"/>
    <mergeCell ref="A8:E8"/>
    <mergeCell ref="A18:E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FCCA-F6CB-4167-811D-9D1949E25AC3}">
  <dimension ref="G2:K26"/>
  <sheetViews>
    <sheetView workbookViewId="0">
      <selection activeCell="C7" sqref="C7"/>
    </sheetView>
  </sheetViews>
  <sheetFormatPr baseColWidth="10" defaultRowHeight="15" x14ac:dyDescent="0.25"/>
  <cols>
    <col min="7" max="7" width="37.42578125" bestFit="1" customWidth="1"/>
    <col min="8" max="8" width="12.5703125" bestFit="1" customWidth="1"/>
    <col min="9" max="9" width="80" customWidth="1"/>
    <col min="10" max="10" width="14.140625" bestFit="1" customWidth="1"/>
    <col min="11" max="11" width="12" bestFit="1" customWidth="1"/>
  </cols>
  <sheetData>
    <row r="2" spans="7:11" ht="18.75" x14ac:dyDescent="0.3">
      <c r="G2" s="3" t="s">
        <v>114</v>
      </c>
      <c r="H2" s="3"/>
      <c r="I2" s="3"/>
      <c r="J2" s="3"/>
      <c r="K2" s="3"/>
    </row>
    <row r="4" spans="7:11" x14ac:dyDescent="0.25">
      <c r="G4" s="4" t="s">
        <v>22</v>
      </c>
      <c r="H4" s="4" t="s">
        <v>20</v>
      </c>
      <c r="I4" s="4" t="s">
        <v>115</v>
      </c>
      <c r="J4" s="4" t="s">
        <v>21</v>
      </c>
      <c r="K4" s="4" t="s">
        <v>116</v>
      </c>
    </row>
    <row r="5" spans="7:11" x14ac:dyDescent="0.25">
      <c r="G5" t="s">
        <v>15</v>
      </c>
      <c r="H5" s="11">
        <f>Hp!D14</f>
        <v>60200000</v>
      </c>
      <c r="I5" s="11">
        <f>Hp!D29</f>
        <v>45862168</v>
      </c>
      <c r="J5" s="11">
        <f>H5-I5</f>
        <v>14337832</v>
      </c>
      <c r="K5" s="27">
        <f>IF(H5=0,"",I5/H5)</f>
        <v>0.76183003322259135</v>
      </c>
    </row>
    <row r="6" spans="7:11" x14ac:dyDescent="0.25">
      <c r="G6" t="s">
        <v>16</v>
      </c>
      <c r="H6" s="11">
        <f>Dell!D11</f>
        <v>57947715</v>
      </c>
      <c r="I6" s="11">
        <f>Dell!D20</f>
        <v>33927450</v>
      </c>
      <c r="J6" s="11">
        <f>H6-I6</f>
        <v>24020265</v>
      </c>
      <c r="K6" s="27">
        <f>IF(H6=0,"",I6/H6)</f>
        <v>0.58548382796457121</v>
      </c>
    </row>
    <row r="7" spans="7:11" x14ac:dyDescent="0.25">
      <c r="G7" t="s">
        <v>17</v>
      </c>
      <c r="H7" s="11">
        <f>Lenovo!D8</f>
        <v>17160500</v>
      </c>
      <c r="I7" s="11">
        <f>Lenovo!D17</f>
        <v>17158950</v>
      </c>
      <c r="J7" s="11">
        <f>H7-I7</f>
        <v>1550</v>
      </c>
      <c r="K7" s="27">
        <f>IF(H7=0,"",I7/H7)</f>
        <v>0.99990967629148331</v>
      </c>
    </row>
    <row r="8" spans="7:11" x14ac:dyDescent="0.25">
      <c r="G8" t="s">
        <v>28</v>
      </c>
      <c r="H8" s="11">
        <f>Intel!D6</f>
        <v>17465000</v>
      </c>
      <c r="I8" s="11">
        <f>Intel!D13</f>
        <v>17465000</v>
      </c>
      <c r="J8" s="11">
        <f>H8-I8</f>
        <v>0</v>
      </c>
      <c r="K8" s="27">
        <f>IF(H8=0,"",I8/H8)</f>
        <v>1</v>
      </c>
    </row>
    <row r="9" spans="7:11" x14ac:dyDescent="0.25">
      <c r="G9" t="s">
        <v>18</v>
      </c>
      <c r="H9" s="11">
        <f>Cisco!D6</f>
        <v>10000000</v>
      </c>
      <c r="I9" s="11">
        <f>Cisco!D12</f>
        <v>10000000</v>
      </c>
      <c r="J9" s="11">
        <f>H9-I9</f>
        <v>0</v>
      </c>
      <c r="K9" s="27">
        <f>IF(H9=0,"",I9/H9)</f>
        <v>1</v>
      </c>
    </row>
    <row r="10" spans="7:11" x14ac:dyDescent="0.25">
      <c r="G10" t="s">
        <v>19</v>
      </c>
      <c r="H10" s="11">
        <f>Microsoft!D7</f>
        <v>27566000</v>
      </c>
      <c r="I10" s="11">
        <f>Microsoft!D12</f>
        <v>0</v>
      </c>
      <c r="J10" s="11">
        <f>H10-I10</f>
        <v>27566000</v>
      </c>
      <c r="K10" s="27">
        <f>IF(H10=0,"",I10/H10)</f>
        <v>0</v>
      </c>
    </row>
    <row r="11" spans="7:11" x14ac:dyDescent="0.25">
      <c r="G11" t="s">
        <v>30</v>
      </c>
      <c r="H11" s="11">
        <f>Champion!D6</f>
        <v>0</v>
      </c>
      <c r="I11" s="11">
        <f>Champion!E16</f>
        <v>28000000</v>
      </c>
      <c r="J11" s="11">
        <f>H11-I11</f>
        <v>-28000000</v>
      </c>
      <c r="K11" s="27" t="str">
        <f>IF(H11=0,"",I11/H11)</f>
        <v/>
      </c>
    </row>
    <row r="12" spans="7:11" x14ac:dyDescent="0.25">
      <c r="G12" s="24" t="s">
        <v>117</v>
      </c>
      <c r="H12" s="26">
        <f>SUM(H5:H11)</f>
        <v>190339215</v>
      </c>
      <c r="I12" s="26">
        <f>SUM(I5:I11)</f>
        <v>152413568</v>
      </c>
      <c r="J12" s="26">
        <f>SUM(J5:J11)</f>
        <v>37925647</v>
      </c>
      <c r="K12" s="28">
        <f>IF(H12=0,"",I12/H12)</f>
        <v>0.80074706623120206</v>
      </c>
    </row>
    <row r="13" spans="7:11" x14ac:dyDescent="0.25">
      <c r="G13" s="9" t="s">
        <v>118</v>
      </c>
      <c r="H13" s="25">
        <f>J12*10%</f>
        <v>3792564.7</v>
      </c>
    </row>
    <row r="15" spans="7:11" x14ac:dyDescent="0.25">
      <c r="G15" s="5" t="s">
        <v>119</v>
      </c>
      <c r="H15" s="5"/>
      <c r="I15" s="5"/>
      <c r="J15" s="5"/>
      <c r="K15" s="5"/>
    </row>
    <row r="16" spans="7:11" x14ac:dyDescent="0.25">
      <c r="G16" s="6" t="s">
        <v>25</v>
      </c>
      <c r="H16" s="6" t="s">
        <v>26</v>
      </c>
      <c r="I16" s="6" t="s">
        <v>27</v>
      </c>
      <c r="J16" s="6" t="s">
        <v>120</v>
      </c>
    </row>
    <row r="17" spans="7:10" ht="30" x14ac:dyDescent="0.25">
      <c r="G17" s="29" t="s">
        <v>121</v>
      </c>
      <c r="H17" s="29" t="s">
        <v>122</v>
      </c>
      <c r="I17" s="30" t="s">
        <v>123</v>
      </c>
      <c r="J17" s="31">
        <v>0</v>
      </c>
    </row>
    <row r="18" spans="7:10" x14ac:dyDescent="0.25">
      <c r="G18" s="29" t="s">
        <v>19</v>
      </c>
      <c r="H18" s="29" t="s">
        <v>124</v>
      </c>
      <c r="I18" s="30" t="s">
        <v>125</v>
      </c>
      <c r="J18" s="31">
        <f>Microsoft!D7</f>
        <v>27566000</v>
      </c>
    </row>
    <row r="19" spans="7:10" ht="30" x14ac:dyDescent="0.25">
      <c r="G19" s="29" t="s">
        <v>17</v>
      </c>
      <c r="H19" s="29" t="s">
        <v>126</v>
      </c>
      <c r="I19" s="30" t="s">
        <v>127</v>
      </c>
      <c r="J19" s="31">
        <f>Lenovo!D7</f>
        <v>11721500</v>
      </c>
    </row>
    <row r="20" spans="7:10" x14ac:dyDescent="0.25">
      <c r="G20" s="29" t="s">
        <v>30</v>
      </c>
      <c r="H20" s="29" t="s">
        <v>128</v>
      </c>
      <c r="I20" s="30" t="s">
        <v>129</v>
      </c>
      <c r="J20" s="31">
        <f>-Champion!E16</f>
        <v>-28000000</v>
      </c>
    </row>
    <row r="21" spans="7:10" x14ac:dyDescent="0.25">
      <c r="G21" s="29" t="s">
        <v>16</v>
      </c>
      <c r="H21" s="29" t="s">
        <v>130</v>
      </c>
      <c r="I21" s="30" t="s">
        <v>131</v>
      </c>
      <c r="J21" s="31">
        <f>Dell!D10</f>
        <v>33250000</v>
      </c>
    </row>
    <row r="22" spans="7:10" x14ac:dyDescent="0.25">
      <c r="G22" s="29" t="s">
        <v>16</v>
      </c>
      <c r="H22" s="29" t="s">
        <v>132</v>
      </c>
      <c r="I22" s="30" t="s">
        <v>133</v>
      </c>
      <c r="J22" s="31">
        <v>0</v>
      </c>
    </row>
    <row r="23" spans="7:10" x14ac:dyDescent="0.25">
      <c r="G23" s="29" t="s">
        <v>28</v>
      </c>
      <c r="H23" s="29" t="s">
        <v>29</v>
      </c>
      <c r="I23" s="30" t="s">
        <v>134</v>
      </c>
      <c r="J23" s="31">
        <f>6500000*2-Intel!D12</f>
        <v>3250000</v>
      </c>
    </row>
    <row r="24" spans="7:10" x14ac:dyDescent="0.25">
      <c r="G24" s="29" t="s">
        <v>18</v>
      </c>
      <c r="H24" s="29" t="s">
        <v>135</v>
      </c>
      <c r="I24" s="30" t="s">
        <v>136</v>
      </c>
      <c r="J24" s="31">
        <f>6500000*1-Cisco!D10</f>
        <v>-3250000</v>
      </c>
    </row>
    <row r="25" spans="7:10" x14ac:dyDescent="0.25">
      <c r="G25" s="29" t="s">
        <v>18</v>
      </c>
      <c r="H25" s="29" t="s">
        <v>137</v>
      </c>
      <c r="I25" s="30" t="s">
        <v>138</v>
      </c>
      <c r="J25" s="31">
        <f>Cisco!B5*3500-Cisco!D5</f>
        <v>500000</v>
      </c>
    </row>
    <row r="26" spans="7:10" ht="30" x14ac:dyDescent="0.25">
      <c r="G26" s="29" t="s">
        <v>15</v>
      </c>
      <c r="H26" s="29" t="s">
        <v>139</v>
      </c>
      <c r="I26" s="30" t="s">
        <v>140</v>
      </c>
      <c r="J26" s="31">
        <v>0</v>
      </c>
    </row>
  </sheetData>
  <mergeCells count="2">
    <mergeCell ref="G2:K2"/>
    <mergeCell ref="G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Hp</vt:lpstr>
      <vt:lpstr>Dell</vt:lpstr>
      <vt:lpstr>Lenovo</vt:lpstr>
      <vt:lpstr>Intel</vt:lpstr>
      <vt:lpstr>Microsoft</vt:lpstr>
      <vt:lpstr>Cisco</vt:lpstr>
      <vt:lpstr>Champion</vt:lpstr>
      <vt:lpstr>Total Fondos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Sarmiento Rodriguez</dc:creator>
  <cp:lastModifiedBy>Daniel Felipe Cardenas Rivera</cp:lastModifiedBy>
  <dcterms:created xsi:type="dcterms:W3CDTF">2026-08-12T20:45:08Z</dcterms:created>
  <dcterms:modified xsi:type="dcterms:W3CDTF">2026-08-13T19:42:07Z</dcterms:modified>
</cp:coreProperties>
</file>