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ovexpress-my.sharepoint.com/personal/especialista_preventa_provexpress_com_co/Documents/Desktop/"/>
    </mc:Choice>
  </mc:AlternateContent>
  <xr:revisionPtr revIDLastSave="15" documentId="8_{9D78251D-2A46-4F86-A8A2-16B7480BAF13}" xr6:coauthVersionLast="47" xr6:coauthVersionMax="47" xr10:uidLastSave="{B47EE141-9CFD-45D4-8609-8A3D5333F485}"/>
  <bookViews>
    <workbookView xWindow="-120" yWindow="-120" windowWidth="29040" windowHeight="15720" tabRatio="500" xr2:uid="{00000000-000D-0000-FFFF-FFFF00000000}"/>
  </bookViews>
  <sheets>
    <sheet name="Resumen" sheetId="1" r:id="rId1"/>
    <sheet name="HPE Instant On" sheetId="2" r:id="rId2"/>
    <sheet name="HPE Tarjeta" sheetId="3" r:id="rId3"/>
    <sheet name="HP" sheetId="4" r:id="rId4"/>
    <sheet name="ASUS" sheetId="5" r:id="rId5"/>
    <sheet name="Lenovo Tarjeta" sheetId="6" r:id="rId6"/>
    <sheet name="Lenovo Canales" sheetId="7" r:id="rId7"/>
    <sheet name="Microsoft" sheetId="8" r:id="rId8"/>
    <sheet name="Epson" sheetId="9" r:id="rId9"/>
    <sheet name="Intel" sheetId="10" r:id="rId10"/>
    <sheet name="Dell Rebates" sheetId="11" r:id="rId11"/>
    <sheet name="Dell MyRewards" sheetId="12" r:id="rId12"/>
    <sheet name="Zebra" sheetId="13" r:id="rId13"/>
  </sheets>
  <definedNames>
    <definedName name="_xlnm._FilterDatabase" localSheetId="10" hidden="1">'Dell Rebates'!$A$4:$H$30</definedName>
    <definedName name="_xlnm._FilterDatabase" localSheetId="6" hidden="1">'Lenovo Canales'!$A$24:$H$59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" l="1"/>
  <c r="B15" i="1"/>
  <c r="F30" i="11"/>
  <c r="C40" i="11"/>
  <c r="C38" i="11"/>
  <c r="C37" i="11"/>
  <c r="C36" i="11"/>
  <c r="C35" i="11"/>
  <c r="C34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1" i="11"/>
  <c r="G23" i="11"/>
  <c r="D38" i="11" s="1"/>
  <c r="G27" i="11"/>
  <c r="G29" i="11"/>
  <c r="D40" i="11" s="1"/>
  <c r="G5" i="11"/>
  <c r="C25" i="8"/>
  <c r="C18" i="8"/>
  <c r="B23" i="8"/>
  <c r="C14" i="1" s="1"/>
  <c r="D12" i="1"/>
  <c r="C12" i="1"/>
  <c r="B12" i="1"/>
  <c r="B19" i="9"/>
  <c r="F13" i="9"/>
  <c r="E11" i="1"/>
  <c r="D11" i="1"/>
  <c r="C10" i="1"/>
  <c r="K27" i="7"/>
  <c r="K26" i="7"/>
  <c r="C9" i="1"/>
  <c r="K25" i="7"/>
  <c r="B10" i="1" s="1"/>
  <c r="K24" i="7"/>
  <c r="C7" i="1"/>
  <c r="B7" i="1"/>
  <c r="F10" i="4"/>
  <c r="F6" i="4"/>
  <c r="F7" i="4"/>
  <c r="F8" i="4"/>
  <c r="F9" i="4"/>
  <c r="F5" i="4"/>
  <c r="B17" i="2"/>
  <c r="B64" i="7"/>
  <c r="C15" i="6"/>
  <c r="E30" i="11"/>
  <c r="C30" i="11"/>
  <c r="D30" i="11"/>
  <c r="D8" i="10"/>
  <c r="D13" i="1" s="1"/>
  <c r="C8" i="10"/>
  <c r="D13" i="9"/>
  <c r="B24" i="8"/>
  <c r="C24" i="8" s="1"/>
  <c r="D14" i="1" s="1"/>
  <c r="B67" i="7"/>
  <c r="B66" i="7"/>
  <c r="B65" i="7"/>
  <c r="B63" i="7"/>
  <c r="B62" i="7"/>
  <c r="F57" i="7"/>
  <c r="F58" i="7" s="1"/>
  <c r="C16" i="7"/>
  <c r="C11" i="1" s="1"/>
  <c r="B16" i="7"/>
  <c r="B11" i="1" s="1"/>
  <c r="C10" i="4"/>
  <c r="B10" i="4"/>
  <c r="C12" i="2"/>
  <c r="D5" i="1" s="1"/>
  <c r="E5" i="1" s="1"/>
  <c r="C11" i="2"/>
  <c r="B5" i="1" s="1"/>
  <c r="C5" i="1" s="1"/>
  <c r="C9" i="2"/>
  <c r="E14" i="1"/>
  <c r="E13" i="1"/>
  <c r="E12" i="1"/>
  <c r="D9" i="1"/>
  <c r="E9" i="1" s="1"/>
  <c r="B9" i="1"/>
  <c r="C6" i="1"/>
  <c r="B6" i="1"/>
  <c r="D37" i="11" l="1"/>
  <c r="D36" i="11"/>
  <c r="D35" i="11"/>
  <c r="E18" i="1" s="1"/>
  <c r="D34" i="11"/>
  <c r="D41" i="11" s="1"/>
  <c r="C41" i="11"/>
  <c r="G30" i="11"/>
  <c r="D18" i="1"/>
  <c r="C23" i="8"/>
  <c r="B25" i="8"/>
  <c r="C65" i="7"/>
  <c r="C62" i="7"/>
  <c r="C67" i="7"/>
  <c r="C64" i="7"/>
  <c r="C63" i="7"/>
  <c r="C66" i="7"/>
  <c r="C68" i="7"/>
  <c r="B68" i="7"/>
  <c r="C18" i="1" l="1"/>
  <c r="B14" i="1"/>
  <c r="B18" i="1" s="1"/>
</calcChain>
</file>

<file path=xl/sharedStrings.xml><?xml version="1.0" encoding="utf-8"?>
<sst xmlns="http://schemas.openxmlformats.org/spreadsheetml/2006/main" count="844" uniqueCount="399">
  <si>
    <t>Informe de Puntos e Incentivos por Marca</t>
  </si>
  <si>
    <t>Provexpress S.A.S. — corte a julio 2026</t>
  </si>
  <si>
    <t>Marca / Programa</t>
  </si>
  <si>
    <t>Recibido / cobrado (USD)</t>
  </si>
  <si>
    <t>Recibido / cobrado (COP)</t>
  </si>
  <si>
    <t>Pendiente / por canjear (USD)</t>
  </si>
  <si>
    <t>Pendiente / por canjear (COP)</t>
  </si>
  <si>
    <t>HPE Instant On</t>
  </si>
  <si>
    <t>HPE (tarjeta prepago)</t>
  </si>
  <si>
    <t>HP</t>
  </si>
  <si>
    <t>ASUS (cuota comercial AGP Silver)</t>
  </si>
  <si>
    <t>Lenovo (canales - rebates)</t>
  </si>
  <si>
    <t>Epson</t>
  </si>
  <si>
    <t>Intel</t>
  </si>
  <si>
    <t>Microsoft</t>
  </si>
  <si>
    <t>Dell Rebates/MDF</t>
  </si>
  <si>
    <t>Dell MyRewards (puntos colaboradores)</t>
  </si>
  <si>
    <t>Zebra</t>
  </si>
  <si>
    <t>Comparativo: valor recibido/cobrado por programa (USD)</t>
  </si>
  <si>
    <t>Programa</t>
  </si>
  <si>
    <t>USD</t>
  </si>
  <si>
    <t>HPE Instant On (confirmado)</t>
  </si>
  <si>
    <t>HPE tarjeta</t>
  </si>
  <si>
    <t>Lenovo tarjeta (recargas)</t>
  </si>
  <si>
    <t>Lenovo canales (abr-jun 26 pagado)</t>
  </si>
  <si>
    <t>Dell Rebates (pagado FY22-FY27 Q1)</t>
  </si>
  <si>
    <t>Comparativo: valor en COP (recibido vs. pendiente)</t>
  </si>
  <si>
    <t>Concepto</t>
  </si>
  <si>
    <t>COP</t>
  </si>
  <si>
    <t>Epson - procesado</t>
  </si>
  <si>
    <t>Epson - pendiente</t>
  </si>
  <si>
    <t>Intel - pendiente</t>
  </si>
  <si>
    <t>Microsoft - 2025</t>
  </si>
  <si>
    <t>Microsoft - 2026 (a jun)</t>
  </si>
  <si>
    <t>Microsoft - pendiente jul-26</t>
  </si>
  <si>
    <t>HPE tarjeta - equivalente</t>
  </si>
  <si>
    <t>HP - aprobado (3 trimestres)</t>
  </si>
  <si>
    <t>Bonos en efectivo por redimir de incentivos (cash bonus cashout)</t>
  </si>
  <si>
    <t>Fecha</t>
  </si>
  <si>
    <t>Descripción</t>
  </si>
  <si>
    <t>Incentivo (USD)</t>
  </si>
  <si>
    <t>Estado</t>
  </si>
  <si>
    <t>ID de canje</t>
  </si>
  <si>
    <t>2026-05-22</t>
  </si>
  <si>
    <t>FY26Q2 Cash bonus cashout</t>
  </si>
  <si>
    <t>Confirmado</t>
  </si>
  <si>
    <t>C260001217</t>
  </si>
  <si>
    <t>2026-02-27</t>
  </si>
  <si>
    <t>FY26Q1 Cash bonus cashout</t>
  </si>
  <si>
    <t>C260000530</t>
  </si>
  <si>
    <t>2026-01-06</t>
  </si>
  <si>
    <t>FY25Q4 Cash bonus cashout</t>
  </si>
  <si>
    <t>C260000111</t>
  </si>
  <si>
    <t>2025-09-26</t>
  </si>
  <si>
    <t>FY25Q3 Cash bonus cashout</t>
  </si>
  <si>
    <t>C250002268</t>
  </si>
  <si>
    <t>Por canjear</t>
  </si>
  <si>
    <t>Total</t>
  </si>
  <si>
    <t>Confirmados (con recibo)</t>
  </si>
  <si>
    <t>Por canjear (sin recibo aún)</t>
  </si>
  <si>
    <t>Confirmado vs. por canjear (USD)</t>
  </si>
  <si>
    <t>Nota: el resultado de FY26Q2 (242 USD, may-2026) corresponde a gestión previa a la llegada de Jennifer.</t>
  </si>
  <si>
    <t>HPE</t>
  </si>
  <si>
    <t>Recompensa entregada — tarjeta prepago Visa</t>
  </si>
  <si>
    <t>Valor</t>
  </si>
  <si>
    <t>Recompensa entregada</t>
  </si>
  <si>
    <t>Physical Visa® Prepaid Card USD $300</t>
  </si>
  <si>
    <t>Fecha de entrega</t>
  </si>
  <si>
    <t>2026-07-01</t>
  </si>
  <si>
    <t>Valor en USD</t>
  </si>
  <si>
    <t>Equivalente en COP</t>
  </si>
  <si>
    <t>Puntos disponibles sin usar</t>
  </si>
  <si>
    <t>Nota: el valor de COP $990,000 corresponde al dato registrado en el archivo original para esta tarjeta.</t>
  </si>
  <si>
    <t>Beneficios por trimestre — portal de incentivos HP (todos aprobados)</t>
  </si>
  <si>
    <t>Trimestre</t>
  </si>
  <si>
    <t>Obtenido hasta el momento (COP)</t>
  </si>
  <si>
    <t>Aprobado (COP)</t>
  </si>
  <si>
    <t>TRM usada (1 USD =)</t>
  </si>
  <si>
    <t>Q2-2025</t>
  </si>
  <si>
    <t>Aprobado</t>
  </si>
  <si>
    <t>Q4-2025</t>
  </si>
  <si>
    <t>Q2-2026</t>
  </si>
  <si>
    <t>Equivalente aproximado en USD (según TRM del portal)</t>
  </si>
  <si>
    <t>USD aprox.</t>
  </si>
  <si>
    <t>Nota: valores tomados directamente del portal de incentivos de HP (captura de pantalla). Q2-2025 y Q2-2026 corresponden a trimestres distintos (no acumulan entre sí). Se muestran duplicados en la captura original para el mismo trimestre; se tomó un solo registro por trimestre.</t>
  </si>
  <si>
    <t>ASUS</t>
  </si>
  <si>
    <t>AGP Program 2026 — Reseller categoría AGP Silver</t>
  </si>
  <si>
    <t>Dato del programa</t>
  </si>
  <si>
    <t>Detalle</t>
  </si>
  <si>
    <t>AGP Program 2026</t>
  </si>
  <si>
    <t>Categoría</t>
  </si>
  <si>
    <t>Reseller AGP Silver</t>
  </si>
  <si>
    <t>Cuota 2026</t>
  </si>
  <si>
    <t>USD 200,000</t>
  </si>
  <si>
    <t>Unidades meta</t>
  </si>
  <si>
    <t>345 unidades (Portátiles ASUS ExpertBook, AiO/Desktop ASUS ExpertCenter, Portátiles ASUS Chromebook)</t>
  </si>
  <si>
    <t>Aplica en compras a</t>
  </si>
  <si>
    <t>NEXSYS, INGRAM, MPS, IMPRESISTEM (mayoristas ASUS Business)</t>
  </si>
  <si>
    <t>KAM asignado</t>
  </si>
  <si>
    <t>Oscar Bolaños</t>
  </si>
  <si>
    <t>No aplica</t>
  </si>
  <si>
    <t>Portafolio de consumo: ASUS VivoBook, ZenBook, ROG, TUF, Monitores ASUS, Mini PCs / NUC</t>
  </si>
  <si>
    <t>Avance a corte del 30 de junio 2026</t>
  </si>
  <si>
    <t>Indicador</t>
  </si>
  <si>
    <t>Ventas (ene-jun 2026)</t>
  </si>
  <si>
    <t>USD 38,472</t>
  </si>
  <si>
    <t>Unidades facturadas</t>
  </si>
  <si>
    <t>60 unidades</t>
  </si>
  <si>
    <t>Cumplimiento al 30 de junio</t>
  </si>
  <si>
    <t>19%</t>
  </si>
  <si>
    <t>Saldo restante para cumplir cuota</t>
  </si>
  <si>
    <t>USD 161,528</t>
  </si>
  <si>
    <t>Cumplimiento de cuota (USD)</t>
  </si>
  <si>
    <t>Vendido (ene-jun 2026)</t>
  </si>
  <si>
    <t>Restante para cumplir cuota</t>
  </si>
  <si>
    <t>Nota: esta cuota es una meta comercial de compras a mayoristas ASUS (no es un rebate ni puntos redimidos). El cumplimiento del 19% corresponde a la primera mitad del año 2026.</t>
  </si>
  <si>
    <t>Lenovo — Tarjeta prepago</t>
  </si>
  <si>
    <t>Recargas, consumo y comisiones (USD) + comparativo anual en COP</t>
  </si>
  <si>
    <t>Nota</t>
  </si>
  <si>
    <t>Total recargas</t>
  </si>
  <si>
    <t>Dinero que ha ingresado a la tarjeta</t>
  </si>
  <si>
    <t>Compras identificadas</t>
  </si>
  <si>
    <t>Consumo identificado en comercios</t>
  </si>
  <si>
    <t>Comisiones POS</t>
  </si>
  <si>
    <t>Comisión cobrada por cada compra</t>
  </si>
  <si>
    <t>Comisiones recarga</t>
  </si>
  <si>
    <t>Comisión cobrada por cada recarga</t>
  </si>
  <si>
    <t>Saldo teórico</t>
  </si>
  <si>
    <t>Recargas - compras - comisiones</t>
  </si>
  <si>
    <t>Saldo disponible</t>
  </si>
  <si>
    <t>Saldo real reportado por el banco</t>
  </si>
  <si>
    <t>Diferencia</t>
  </si>
  <si>
    <t>Saldo teórico vs. disponible (por ajustar/revisar)</t>
  </si>
  <si>
    <t>Comparativo de consumo por año (COP)</t>
  </si>
  <si>
    <t>Año</t>
  </si>
  <si>
    <t>Total COP</t>
  </si>
  <si>
    <t>2025</t>
  </si>
  <si>
    <t>2026</t>
  </si>
  <si>
    <t>Variación 2025 → 2026</t>
  </si>
  <si>
    <t>El consumo 2026 ya supera un 68% al de 2025 (a la fecha de corte).</t>
  </si>
  <si>
    <t>Lenovo — Programa de canales (rebates)</t>
  </si>
  <si>
    <t>Historial anual + pagos confirmados abr-jun 2026 + detalle completo de transacciones (Program List Lenovo)</t>
  </si>
  <si>
    <t>Total (USD)</t>
  </si>
  <si>
    <t>Crecimiento</t>
  </si>
  <si>
    <t>2023</t>
  </si>
  <si>
    <t>2024</t>
  </si>
  <si>
    <t>2026 (proyección)</t>
  </si>
  <si>
    <t>Ya pagado / cobrado — abr-jun 2026</t>
  </si>
  <si>
    <t>Advocate CO 4Q FY26 IDG T2R</t>
  </si>
  <si>
    <t>Engage Platinum CO 4Q FY26 IDG T2</t>
  </si>
  <si>
    <t>WKS Expert CO 4Q FY26 IDG T2</t>
  </si>
  <si>
    <t>Nota: este bloque corresponde a los pagos ya confirmados y cobrados para el trimestre abril-junio 2026 (identificado en el archivo original como 'Q4_JAN_MAR' según la nomenclatura fiscal de Lenovo). Ver el detalle completo de las 32 transacciones históricas (jul-2023 a jun-2026) más abajo.</t>
  </si>
  <si>
    <t>Detalle completo de transacciones — histórico Lenovo (Program List)</t>
  </si>
  <si>
    <t>32 registros del portal Lenovo LAS (Program List), todos con estado 'Pagado' · periodo FY24 Q2 (jul-2023) a FY26 Q4 (jun-2026)</t>
  </si>
  <si>
    <t>Fecha inicio</t>
  </si>
  <si>
    <t>Fecha fin</t>
  </si>
  <si>
    <t>Trimestre Lenovo</t>
  </si>
  <si>
    <t>Familia</t>
  </si>
  <si>
    <t>Rebate (USD)</t>
  </si>
  <si>
    <t>N° de referencia</t>
  </si>
  <si>
    <t>2026-01-01</t>
  </si>
  <si>
    <t>2026-03-31</t>
  </si>
  <si>
    <t>Q4_JAN_MAR</t>
  </si>
  <si>
    <t>Engage Platinum</t>
  </si>
  <si>
    <t>Pagado</t>
  </si>
  <si>
    <t>CCO10-SG63202512230039</t>
  </si>
  <si>
    <t>Advocate</t>
  </si>
  <si>
    <t>CCO10-SG63202512220002</t>
  </si>
  <si>
    <t>WKS Expert</t>
  </si>
  <si>
    <t>CCO10-SG63202512240012</t>
  </si>
  <si>
    <t>2025-10-01</t>
  </si>
  <si>
    <t>2025-12-31</t>
  </si>
  <si>
    <t>Q3_OCT_DEC</t>
  </si>
  <si>
    <t>Engage Platinum CO 3Q FY26 IDG T2</t>
  </si>
  <si>
    <t>CCO10-SG63202510100026</t>
  </si>
  <si>
    <t>Advocate CO 3Q FY26 IDG T2 Reseller</t>
  </si>
  <si>
    <t>CCO10-SG63202511010002</t>
  </si>
  <si>
    <t>WKS Expert CO 3Q FY26 IDG T2</t>
  </si>
  <si>
    <t>CCO10-SG63202510100014</t>
  </si>
  <si>
    <t>2025-07-01</t>
  </si>
  <si>
    <t>2025-09-30</t>
  </si>
  <si>
    <t>Q2_JUL_SEP</t>
  </si>
  <si>
    <t>Engage Platinum CO 2Q FY26 IDG T2</t>
  </si>
  <si>
    <t>CCO10-SG63202507110005</t>
  </si>
  <si>
    <t>Advocate CO 2Q FY26 IDG T2 Reseller</t>
  </si>
  <si>
    <t>CCO10-SG63202507100011</t>
  </si>
  <si>
    <t>BDF Platinum CO 2Q FY26 IDG T2</t>
  </si>
  <si>
    <t>Engage BDF Platinum</t>
  </si>
  <si>
    <t>CCO10-SG63202507100015</t>
  </si>
  <si>
    <t>WKS Expert CO 2Q FY26 IDG T2</t>
  </si>
  <si>
    <t>CCO10-SG63202507100028</t>
  </si>
  <si>
    <t>2025-04-01</t>
  </si>
  <si>
    <t>2025-06-30</t>
  </si>
  <si>
    <t>Q1_APR_JUN</t>
  </si>
  <si>
    <t>Engage Platinum CO 1Q FY26 IDG T2</t>
  </si>
  <si>
    <t>CCO10-SG63202504230024</t>
  </si>
  <si>
    <t>Advocate CO 1Q FY26 IDG T2</t>
  </si>
  <si>
    <t>CCO10-SG63202504230020</t>
  </si>
  <si>
    <t>WKS Expert CO 1Q FY26 IDG T2</t>
  </si>
  <si>
    <t>CCO10-SG63202504230037</t>
  </si>
  <si>
    <t>2025-01-01</t>
  </si>
  <si>
    <t>2025-03-31</t>
  </si>
  <si>
    <t>CO 4Q FY2425 Lenovo 360 Engage Program IDG Platinum T2</t>
  </si>
  <si>
    <t>CCO10-SG63202501080062</t>
  </si>
  <si>
    <t>CO 4Q FY2425 Lenovo 360 Engage IDG BDF Platinum T2</t>
  </si>
  <si>
    <t>CCO10-SG63202501080057</t>
  </si>
  <si>
    <t>CO 4Q FY2425 Lenovo 360 Engage Program IDG Advocate T2</t>
  </si>
  <si>
    <t>CCO10-SG63202501080059</t>
  </si>
  <si>
    <t>CO 4Q FY2425 Workstation Expert Program T2</t>
  </si>
  <si>
    <t>CCO10-SG63202501080077</t>
  </si>
  <si>
    <t>2024-10-01</t>
  </si>
  <si>
    <t>2024-12-31</t>
  </si>
  <si>
    <t>CO 3Q FY2425 Lenovo 360 Engage Program IDG Platinum T2</t>
  </si>
  <si>
    <t>CCO10-SG63202411010027</t>
  </si>
  <si>
    <t>CO 3Q FY2425 Lenovo 360 Engage IDG BDF Platinum T2</t>
  </si>
  <si>
    <t>CCO10-SG6320240052</t>
  </si>
  <si>
    <t>CO 3Q FY2425 Lenovo 360 Engage Program IDG Advocate T2</t>
  </si>
  <si>
    <t>CCO10-SG63202410310014</t>
  </si>
  <si>
    <t>CO 3Q FY2425 Workstation Expert Program T2</t>
  </si>
  <si>
    <t>CCO10-SG63202410150003</t>
  </si>
  <si>
    <t>2024-07-01</t>
  </si>
  <si>
    <t>2024-09-30</t>
  </si>
  <si>
    <t>CO 2Q FY2425 Lenovo 360 Engage Program IDG Platinum T2</t>
  </si>
  <si>
    <t>CCO10-SG63202407090051</t>
  </si>
  <si>
    <t>CO 2Q FY2425 Workstation Expert Program T2</t>
  </si>
  <si>
    <t>CCO10-SG63202407130003</t>
  </si>
  <si>
    <t>2024-04-01</t>
  </si>
  <si>
    <t>2024-06-30</t>
  </si>
  <si>
    <t>CO 1Q FY2425 Lenovo 360 Engage Program IDG Platinum (T2)</t>
  </si>
  <si>
    <t>CCO10-SG6320240013</t>
  </si>
  <si>
    <t>CO 1Q FY2425 Workstation Expert Program - Top Channel</t>
  </si>
  <si>
    <t>Workstation - Top Channel</t>
  </si>
  <si>
    <t>CCO10-SG63202404090002</t>
  </si>
  <si>
    <t>2024-01-01</t>
  </si>
  <si>
    <t>2024-03-31</t>
  </si>
  <si>
    <t>CO 4Q FY2324 Lenovo 360 Engage Program PCSD Gold</t>
  </si>
  <si>
    <t>Engage PCSD Gold</t>
  </si>
  <si>
    <t>CCO10-SG63202312220026</t>
  </si>
  <si>
    <t>CO 4Q FY2324 Workstation Expert Program - Top Channel (SMB)</t>
  </si>
  <si>
    <t>CCO10-SG63202401190015</t>
  </si>
  <si>
    <t>2023-10-01</t>
  </si>
  <si>
    <t>2023-12-31</t>
  </si>
  <si>
    <t>CO 3Q FY2324 Lenovo 360 Engage Program PCSD Gold</t>
  </si>
  <si>
    <t>CCO10-SG63202309270008</t>
  </si>
  <si>
    <t>CO 3Q FY2324 Workstation Expert Program - Top Channel (REL)</t>
  </si>
  <si>
    <t>CCO10-SG63202309260015</t>
  </si>
  <si>
    <t>2023-07-01</t>
  </si>
  <si>
    <t>2023-09-30</t>
  </si>
  <si>
    <t>CO 2Q FY2324 Lenovo 360 Engage Program PCSD Gold</t>
  </si>
  <si>
    <t>CCO10-SG63202307070003</t>
  </si>
  <si>
    <t>CO 2Q FY2324 Workstation Expert Program - Top Channel (SMB)</t>
  </si>
  <si>
    <t>CCO10-SG63202307250002</t>
  </si>
  <si>
    <t>2023-04-01</t>
  </si>
  <si>
    <t>2023-06-30</t>
  </si>
  <si>
    <t>CO 1Q FY2324 Lenovo 360 Engage Program PCSD Gold</t>
  </si>
  <si>
    <t>CCO10-SG63202304040004</t>
  </si>
  <si>
    <t>Desglose por familia de programa (histórico completo)</t>
  </si>
  <si>
    <t>% del total</t>
  </si>
  <si>
    <t>Fuente: Program_List_LAS_PA000006347092.xls (portal Lenovo LAS), exportado jul-2026. 'Engage Platinum' concentra la mayor parte del histórico, seguido de 'Engage PCSD Gold' (programa vigente hasta FY24). El total de esta tabla ($167,291.70 USD) coincide con la suma de los totales anuales de la tabla superior (2023+2024+2025+2026).</t>
  </si>
  <si>
    <t>Microsoft — Commerce Incentives</t>
  </si>
  <si>
    <t>Revisión detallada por estado de pago (2025-2026)</t>
  </si>
  <si>
    <t>Cuenta</t>
  </si>
  <si>
    <t>Valor (COP)</t>
  </si>
  <si>
    <t>2025-08-12</t>
  </si>
  <si>
    <t>Provexpress S.A.S</t>
  </si>
  <si>
    <t>2025-09-15</t>
  </si>
  <si>
    <t>2025-10-14</t>
  </si>
  <si>
    <t>Provexpress S.A.S (5014564)</t>
  </si>
  <si>
    <t>Provexpress S.A.S (4850085)</t>
  </si>
  <si>
    <t>2026-01-16</t>
  </si>
  <si>
    <t>2026-02-15</t>
  </si>
  <si>
    <t>2026-03-12</t>
  </si>
  <si>
    <t>2026-04-15</t>
  </si>
  <si>
    <t>2026-05-13</t>
  </si>
  <si>
    <t>2026-06-12</t>
  </si>
  <si>
    <t>2026-07-09</t>
  </si>
  <si>
    <t>Upcoming (pendiente)</t>
  </si>
  <si>
    <t>Resumen por estado — COP y USD (equivalente)</t>
  </si>
  <si>
    <t>USD (aprox., TRM ~4000)</t>
  </si>
  <si>
    <t>Pagado (2025+2026)</t>
  </si>
  <si>
    <t>Pendiente (Upcoming, jul-2026)</t>
  </si>
  <si>
    <t>Pagado por año (COP)</t>
  </si>
  <si>
    <t>2026 (a jun, pagado)</t>
  </si>
  <si>
    <t>Rebates por trimestre — procesados vs. pendientes</t>
  </si>
  <si>
    <t>Periodo</t>
  </si>
  <si>
    <t>Mayorista</t>
  </si>
  <si>
    <t>Valor (USD)</t>
  </si>
  <si>
    <t>2026-04-01 a 2026-06-30</t>
  </si>
  <si>
    <t>Consumo (Colombia)</t>
  </si>
  <si>
    <t>SED INTERNATIONAL DE COLOMBIA</t>
  </si>
  <si>
    <t>Pendiente</t>
  </si>
  <si>
    <t>2026-01-01 a 2026-03-31</t>
  </si>
  <si>
    <t>INGRAM MICRO S.A.S.</t>
  </si>
  <si>
    <t>Comercial (Colombia)</t>
  </si>
  <si>
    <t>IMPRESISTEM S.A.S</t>
  </si>
  <si>
    <t>Procesado</t>
  </si>
  <si>
    <t>2025-10-01 a 2025-12-31</t>
  </si>
  <si>
    <t>2025-07-01 a 2025-09-30</t>
  </si>
  <si>
    <t>2025-03-31 a 2025-06-30</t>
  </si>
  <si>
    <t>NEXSYS DE COLOMBIA S.A.</t>
  </si>
  <si>
    <t>Procesado vs. pendiente (COP)</t>
  </si>
  <si>
    <t>Puntos redimidos y valor pendiente por cobrar</t>
  </si>
  <si>
    <t>Cantidad</t>
  </si>
  <si>
    <t>Valor unitario (USD)</t>
  </si>
  <si>
    <t>Valor total (USD)</t>
  </si>
  <si>
    <t>Valor en COP</t>
  </si>
  <si>
    <t>Todo el monto de Intel está pendiente por cobrar (COP $24,915,000).</t>
  </si>
  <si>
    <t>Dell — Rebates &amp; MDF (Solution Provider)</t>
  </si>
  <si>
    <t>Reclamos por año fiscal, corte a jun-2026 (Claim Summary Report) — valores en USD y COP</t>
  </si>
  <si>
    <t>Año fiscal</t>
  </si>
  <si>
    <t>Pagado (USD)</t>
  </si>
  <si>
    <t>Pagado (COP)</t>
  </si>
  <si>
    <t>FY26</t>
  </si>
  <si>
    <t>Resumen por estado (USD y COP)</t>
  </si>
  <si>
    <t>FY27Q1_pbMDF_ISG</t>
  </si>
  <si>
    <t>Released</t>
  </si>
  <si>
    <t>FY27-Q1</t>
  </si>
  <si>
    <t>FY26Q3_eMDF_LATAM_SP</t>
  </si>
  <si>
    <t>FY27Q1_pbMDF_Client+</t>
  </si>
  <si>
    <t>FY27Q1_Base_LATAM_Cloud Service Provider_D</t>
  </si>
  <si>
    <t>Pending Final Review</t>
  </si>
  <si>
    <t>FY27Q1_Services_LATAM_Cloud Service Provider_D</t>
  </si>
  <si>
    <t>Dell — MyRewards (puntos de colaboradores)</t>
  </si>
  <si>
    <t>Resumen por estado</t>
  </si>
  <si>
    <t>Puntos pendientes por reclamar, por trimestre de venta</t>
  </si>
  <si>
    <t>Puntos pendientes</t>
  </si>
  <si>
    <t>FY22-Q1</t>
  </si>
  <si>
    <t>FY22-Q2</t>
  </si>
  <si>
    <t>FY22-Q3</t>
  </si>
  <si>
    <t>FY22-Q4</t>
  </si>
  <si>
    <t>FY23-Q1</t>
  </si>
  <si>
    <t>FY23-Q2</t>
  </si>
  <si>
    <t>FY23-Q3</t>
  </si>
  <si>
    <t>FY23-Q4</t>
  </si>
  <si>
    <t>FY24-Q1</t>
  </si>
  <si>
    <t>FY24-Q2</t>
  </si>
  <si>
    <t>FY24-Q3</t>
  </si>
  <si>
    <t>FY24-Q4</t>
  </si>
  <si>
    <t>FY25-Q4</t>
  </si>
  <si>
    <t>FY26-Q1</t>
  </si>
  <si>
    <t>FY26-Q2</t>
  </si>
  <si>
    <t>Sin datos disponibles</t>
  </si>
  <si>
    <t>Esta marca figura en el archivo original sin información cargada todavía.</t>
  </si>
  <si>
    <t>En cuanto haya movimientos de puntos o rebates, se pueden agregar aquí siguiendo el mismo formato de las demás hojas.</t>
  </si>
  <si>
    <t xml:space="preserve">Lenovo (tarjeta prepago)Puntos </t>
  </si>
  <si>
    <t xml:space="preserve">lenovo canales </t>
  </si>
  <si>
    <t>Q1-2026</t>
  </si>
  <si>
    <t>Q3-2025</t>
  </si>
  <si>
    <t xml:space="preserve">usd </t>
  </si>
  <si>
    <t xml:space="preserve">Total </t>
  </si>
  <si>
    <t xml:space="preserve">La marca paga al mayorista a finales de Julio </t>
  </si>
  <si>
    <t xml:space="preserve">a espera de informacion con respecto al mayorista que genera la NC </t>
  </si>
  <si>
    <t>Execution Year</t>
  </si>
  <si>
    <t>Fund Quarter</t>
  </si>
  <si>
    <t>Fund Name</t>
  </si>
  <si>
    <t>Claim Payment Status</t>
  </si>
  <si>
    <t>Claim Status Name</t>
  </si>
  <si>
    <t>Suma de Approved to Pay</t>
  </si>
  <si>
    <t>Q1</t>
  </si>
  <si>
    <t>FY26Q1_Base_LATAM_Solution Provider_D</t>
  </si>
  <si>
    <t>Paid</t>
  </si>
  <si>
    <t>Complete</t>
  </si>
  <si>
    <t>FY26Q1_eMDF_LATAM_SP</t>
  </si>
  <si>
    <t>FY26Q1_Services_LATAM_Solution Provider_D</t>
  </si>
  <si>
    <t>Q2</t>
  </si>
  <si>
    <t>FY25Q2_eMDF_LATAM_SP</t>
  </si>
  <si>
    <t>FY26Q2_Base_LATAM_Solution Provider_D</t>
  </si>
  <si>
    <t>FY26Q2_eMDF_LATAM_SP</t>
  </si>
  <si>
    <t>FY26Q2_NBI_LATAM_Solution Provider_D</t>
  </si>
  <si>
    <t>FY26Q2_Services_LATAM_Solution Provider_D</t>
  </si>
  <si>
    <t>Q3</t>
  </si>
  <si>
    <t>FY25Q3_eMDF_LATAM_SP</t>
  </si>
  <si>
    <t>FY26Q3_Base_LATAM_Solution Provider_D</t>
  </si>
  <si>
    <t>FY26Q3_NBI_LATAM_Solution Provider_D</t>
  </si>
  <si>
    <t>FY26Q3_Services_LATAM_Solution Provider_D</t>
  </si>
  <si>
    <t>Q4</t>
  </si>
  <si>
    <t>FY25Q4_eMDF_LATAM_SP</t>
  </si>
  <si>
    <t>FY26Q4_Base_LATAM_Solution Provider_D</t>
  </si>
  <si>
    <t>FY26Q4_pbMDF_ISG</t>
  </si>
  <si>
    <t>FY26Q4_Services_LATAM_Cloud Service Provider_D</t>
  </si>
  <si>
    <t>(en blanco)</t>
  </si>
  <si>
    <t>Declined</t>
  </si>
  <si>
    <t xml:space="preserve">$ -   </t>
  </si>
  <si>
    <t>FY26Q4_Services_LATAM_Solution Provider_D</t>
  </si>
  <si>
    <t>FY27</t>
  </si>
  <si>
    <t>FY27Q1_Base_LATAM_Solution Provider_D</t>
  </si>
  <si>
    <t>FY27Q1_Services_LATAM_Solution Provider_D</t>
  </si>
  <si>
    <t>Total general</t>
  </si>
  <si>
    <t>Q</t>
  </si>
  <si>
    <t xml:space="preserve">Programa </t>
  </si>
  <si>
    <t xml:space="preserve">Estado </t>
  </si>
  <si>
    <t>Etiquetas de fila</t>
  </si>
  <si>
    <t>Suma de MyR Points</t>
  </si>
  <si>
    <t>FY25-Q1</t>
  </si>
  <si>
    <t>FY25-Q2</t>
  </si>
  <si>
    <t>FY25-Q3</t>
  </si>
  <si>
    <t>FY26-Q3</t>
  </si>
  <si>
    <t>FY26-Q4</t>
  </si>
  <si>
    <t>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</si>
</sst>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%"/>
  </numFmts>
  <fonts count="19" x14ac:knownFonts="1">
    <font>
      <sz val="11"/>
      <color theme="1"/>
      <name val="Calibri"/>
      <family val="2"/>
      <charset val="1"/>
    </font>
    <font>
      <sz val="10"/>
      <name val="Arial"/>
    </font>
    <font>
      <b/>
      <sz val="15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595959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b/>
      <sz val="10"/>
      <color rgb="FF1E7A34"/>
      <name val="Arial"/>
      <charset val="1"/>
    </font>
    <font>
      <b/>
      <sz val="10"/>
      <color rgb="FFB45F06"/>
      <name val="Arial"/>
      <charset val="1"/>
    </font>
    <font>
      <sz val="11"/>
      <name val="Arial"/>
      <charset val="1"/>
    </font>
    <font>
      <b/>
      <sz val="11"/>
      <color rgb="FF000000"/>
      <name val="Calibri"/>
    </font>
    <font>
      <sz val="11"/>
      <name val="Calibri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4" fontId="0" fillId="0" borderId="0" xfId="0" applyNumberFormat="1"/>
    <xf numFmtId="3" fontId="0" fillId="0" borderId="0" xfId="0" applyNumberFormat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5" fillId="4" borderId="1" xfId="0" applyFont="1" applyFill="1" applyBorder="1"/>
    <xf numFmtId="0" fontId="8" fillId="5" borderId="1" xfId="0" applyFont="1" applyFill="1" applyBorder="1"/>
    <xf numFmtId="0" fontId="0" fillId="5" borderId="1" xfId="0" applyFill="1" applyBorder="1"/>
    <xf numFmtId="4" fontId="8" fillId="5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5" fillId="0" borderId="1" xfId="0" applyFont="1" applyBorder="1"/>
    <xf numFmtId="0" fontId="8" fillId="0" borderId="1" xfId="0" applyFont="1" applyBorder="1"/>
    <xf numFmtId="3" fontId="8" fillId="0" borderId="1" xfId="0" applyNumberFormat="1" applyFont="1" applyBorder="1"/>
    <xf numFmtId="0" fontId="8" fillId="3" borderId="1" xfId="0" applyFont="1" applyFill="1" applyBorder="1"/>
    <xf numFmtId="3" fontId="0" fillId="3" borderId="1" xfId="0" applyNumberFormat="1" applyFill="1" applyBorder="1"/>
    <xf numFmtId="0" fontId="9" fillId="3" borderId="1" xfId="0" applyFont="1" applyFill="1" applyBorder="1"/>
    <xf numFmtId="3" fontId="0" fillId="5" borderId="1" xfId="0" applyNumberFormat="1" applyFill="1" applyBorder="1"/>
    <xf numFmtId="0" fontId="5" fillId="0" borderId="0" xfId="0" applyFont="1"/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4" fontId="8" fillId="0" borderId="1" xfId="0" applyNumberFormat="1" applyFont="1" applyBorder="1"/>
    <xf numFmtId="0" fontId="3" fillId="0" borderId="1" xfId="0" applyFont="1" applyBorder="1"/>
    <xf numFmtId="0" fontId="8" fillId="0" borderId="0" xfId="0" applyFont="1"/>
    <xf numFmtId="164" fontId="9" fillId="0" borderId="0" xfId="0" applyNumberFormat="1" applyFont="1"/>
    <xf numFmtId="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4" fontId="0" fillId="5" borderId="1" xfId="0" applyNumberFormat="1" applyFill="1" applyBorder="1"/>
    <xf numFmtId="0" fontId="4" fillId="2" borderId="0" xfId="0" applyFont="1" applyFill="1"/>
    <xf numFmtId="0" fontId="5" fillId="3" borderId="0" xfId="0" applyFont="1" applyFill="1"/>
    <xf numFmtId="4" fontId="5" fillId="3" borderId="0" xfId="0" applyNumberFormat="1" applyFont="1" applyFill="1"/>
    <xf numFmtId="0" fontId="8" fillId="5" borderId="0" xfId="0" applyFont="1" applyFill="1"/>
    <xf numFmtId="4" fontId="8" fillId="5" borderId="0" xfId="0" applyNumberFormat="1" applyFont="1" applyFill="1"/>
    <xf numFmtId="4" fontId="5" fillId="0" borderId="0" xfId="0" applyNumberFormat="1" applyFont="1"/>
    <xf numFmtId="164" fontId="5" fillId="0" borderId="0" xfId="0" applyNumberFormat="1" applyFont="1"/>
    <xf numFmtId="164" fontId="8" fillId="5" borderId="0" xfId="0" applyNumberFormat="1" applyFont="1" applyFill="1"/>
    <xf numFmtId="0" fontId="8" fillId="3" borderId="0" xfId="0" applyFont="1" applyFill="1"/>
    <xf numFmtId="0" fontId="5" fillId="4" borderId="0" xfId="0" applyFont="1" applyFill="1"/>
    <xf numFmtId="0" fontId="8" fillId="4" borderId="0" xfId="0" applyFont="1" applyFill="1"/>
    <xf numFmtId="4" fontId="0" fillId="4" borderId="1" xfId="0" applyNumberFormat="1" applyFill="1" applyBorder="1"/>
    <xf numFmtId="3" fontId="0" fillId="4" borderId="1" xfId="0" applyNumberFormat="1" applyFill="1" applyBorder="1"/>
    <xf numFmtId="44" fontId="1" fillId="0" borderId="0" xfId="1"/>
    <xf numFmtId="0" fontId="4" fillId="2" borderId="2" xfId="0" applyFont="1" applyFill="1" applyBorder="1" applyAlignment="1">
      <alignment horizontal="center" vertical="center" wrapText="1"/>
    </xf>
    <xf numFmtId="44" fontId="0" fillId="0" borderId="0" xfId="0" applyNumberFormat="1"/>
    <xf numFmtId="0" fontId="4" fillId="2" borderId="3" xfId="0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 wrapText="1"/>
    </xf>
    <xf numFmtId="44" fontId="5" fillId="0" borderId="1" xfId="0" applyNumberFormat="1" applyFont="1" applyBorder="1" applyAlignment="1">
      <alignment horizontal="center" vertical="center"/>
    </xf>
    <xf numFmtId="44" fontId="5" fillId="6" borderId="1" xfId="0" applyNumberFormat="1" applyFont="1" applyFill="1" applyBorder="1" applyAlignment="1">
      <alignment horizontal="center" vertical="center"/>
    </xf>
    <xf numFmtId="44" fontId="4" fillId="2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/>
    <xf numFmtId="44" fontId="1" fillId="0" borderId="3" xfId="1" applyBorder="1"/>
    <xf numFmtId="0" fontId="8" fillId="4" borderId="3" xfId="0" applyFont="1" applyFill="1" applyBorder="1"/>
    <xf numFmtId="0" fontId="5" fillId="3" borderId="3" xfId="0" applyFont="1" applyFill="1" applyBorder="1"/>
    <xf numFmtId="0" fontId="8" fillId="3" borderId="3" xfId="0" applyFont="1" applyFill="1" applyBorder="1"/>
    <xf numFmtId="0" fontId="8" fillId="5" borderId="3" xfId="0" applyFont="1" applyFill="1" applyBorder="1"/>
    <xf numFmtId="0" fontId="0" fillId="5" borderId="3" xfId="0" applyFill="1" applyBorder="1"/>
    <xf numFmtId="4" fontId="0" fillId="5" borderId="3" xfId="0" applyNumberFormat="1" applyFill="1" applyBorder="1"/>
    <xf numFmtId="44" fontId="0" fillId="5" borderId="3" xfId="0" applyNumberFormat="1" applyFill="1" applyBorder="1"/>
    <xf numFmtId="44" fontId="5" fillId="3" borderId="0" xfId="0" applyNumberFormat="1" applyFont="1" applyFill="1"/>
    <xf numFmtId="44" fontId="5" fillId="4" borderId="0" xfId="0" applyNumberFormat="1" applyFont="1" applyFill="1"/>
    <xf numFmtId="0" fontId="12" fillId="7" borderId="0" xfId="0" applyFont="1" applyFill="1"/>
    <xf numFmtId="0" fontId="12" fillId="0" borderId="0" xfId="0" applyFont="1"/>
    <xf numFmtId="0" fontId="13" fillId="0" borderId="0" xfId="0" applyFont="1"/>
    <xf numFmtId="8" fontId="13" fillId="0" borderId="0" xfId="0" applyNumberFormat="1" applyFont="1"/>
    <xf numFmtId="0" fontId="13" fillId="8" borderId="0" xfId="0" applyFont="1" applyFill="1"/>
    <xf numFmtId="0" fontId="12" fillId="8" borderId="0" xfId="0" applyFont="1" applyFill="1"/>
    <xf numFmtId="8" fontId="12" fillId="7" borderId="0" xfId="0" applyNumberFormat="1" applyFont="1" applyFill="1"/>
    <xf numFmtId="44" fontId="0" fillId="0" borderId="3" xfId="0" applyNumberFormat="1" applyBorder="1"/>
    <xf numFmtId="0" fontId="0" fillId="0" borderId="3" xfId="0" applyBorder="1"/>
    <xf numFmtId="0" fontId="12" fillId="0" borderId="3" xfId="0" applyFont="1" applyBorder="1"/>
    <xf numFmtId="0" fontId="13" fillId="0" borderId="3" xfId="0" applyFont="1" applyBorder="1"/>
    <xf numFmtId="8" fontId="13" fillId="0" borderId="3" xfId="0" applyNumberFormat="1" applyFont="1" applyBorder="1"/>
    <xf numFmtId="0" fontId="13" fillId="8" borderId="3" xfId="0" applyFont="1" applyFill="1" applyBorder="1"/>
    <xf numFmtId="0" fontId="12" fillId="8" borderId="3" xfId="0" applyFont="1" applyFill="1" applyBorder="1"/>
    <xf numFmtId="44" fontId="14" fillId="9" borderId="3" xfId="1" applyFont="1" applyFill="1" applyBorder="1"/>
    <xf numFmtId="0" fontId="16" fillId="0" borderId="3" xfId="0" applyFont="1" applyBorder="1"/>
    <xf numFmtId="0" fontId="15" fillId="3" borderId="1" xfId="0" applyFont="1" applyFill="1" applyBorder="1" applyAlignment="1">
      <alignment horizontal="center"/>
    </xf>
    <xf numFmtId="44" fontId="0" fillId="3" borderId="1" xfId="0" applyNumberFormat="1" applyFill="1" applyBorder="1"/>
    <xf numFmtId="44" fontId="0" fillId="0" borderId="1" xfId="0" applyNumberFormat="1" applyBorder="1"/>
    <xf numFmtId="44" fontId="0" fillId="3" borderId="1" xfId="0" applyNumberForma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8" fontId="0" fillId="3" borderId="1" xfId="0" applyNumberFormat="1" applyFill="1" applyBorder="1"/>
    <xf numFmtId="44" fontId="0" fillId="5" borderId="1" xfId="0" applyNumberFormat="1" applyFill="1" applyBorder="1"/>
    <xf numFmtId="8" fontId="14" fillId="9" borderId="3" xfId="1" applyNumberFormat="1" applyFont="1" applyFill="1" applyBorder="1"/>
    <xf numFmtId="0" fontId="17" fillId="0" borderId="3" xfId="0" applyFont="1" applyBorder="1"/>
    <xf numFmtId="0" fontId="16" fillId="10" borderId="0" xfId="0" applyFont="1" applyFill="1"/>
    <xf numFmtId="0" fontId="18" fillId="0" borderId="0" xfId="0" applyFont="1" applyAlignment="1">
      <alignment horizontal="left"/>
    </xf>
    <xf numFmtId="0" fontId="18" fillId="0" borderId="0" xfId="0" applyFont="1"/>
    <xf numFmtId="0" fontId="16" fillId="10" borderId="0" xfId="0" applyFont="1" applyFill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3" xfId="0" applyFont="1" applyBorder="1"/>
    <xf numFmtId="44" fontId="1" fillId="0" borderId="3" xfId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0" borderId="3" xfId="0" applyFont="1" applyBorder="1" applyAlignment="1">
      <alignment wrapText="1"/>
    </xf>
    <xf numFmtId="44" fontId="5" fillId="3" borderId="3" xfId="0" applyNumberFormat="1" applyFont="1" applyFill="1" applyBorder="1"/>
    <xf numFmtId="4" fontId="8" fillId="5" borderId="3" xfId="0" applyNumberFormat="1" applyFont="1" applyFill="1" applyBorder="1"/>
    <xf numFmtId="0" fontId="7" fillId="0" borderId="3" xfId="0" applyFont="1" applyBorder="1"/>
    <xf numFmtId="4" fontId="11" fillId="0" borderId="3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B3B3B3"/>
      <rgbColor rgb="FF003366"/>
      <rgbColor rgb="FF4F81BD"/>
      <rgbColor rgb="FF003300"/>
      <rgbColor rgb="FF333300"/>
      <rgbColor rgb="FFB45F06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Valor recibido por programa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Resumen!$A$23:$A$27</c:f>
              <c:strCache>
                <c:ptCount val="5"/>
                <c:pt idx="0">
                  <c:v>HPE Instant On (confirmado)</c:v>
                </c:pt>
                <c:pt idx="1">
                  <c:v>HPE tarjeta</c:v>
                </c:pt>
                <c:pt idx="2">
                  <c:v>Lenovo tarjeta (recargas)</c:v>
                </c:pt>
                <c:pt idx="3">
                  <c:v>Lenovo canales (abr-jun 26 pagado)</c:v>
                </c:pt>
                <c:pt idx="4">
                  <c:v>Dell Rebates (pagado FY22-FY27 Q1)</c:v>
                </c:pt>
              </c:strCache>
            </c:strRef>
          </c:cat>
          <c:val>
            <c:numRef>
              <c:f>Resumen!$B$23:$B$27</c:f>
              <c:numCache>
                <c:formatCode>#,##0.00</c:formatCode>
                <c:ptCount val="5"/>
                <c:pt idx="0">
                  <c:v>828</c:v>
                </c:pt>
                <c:pt idx="1">
                  <c:v>300</c:v>
                </c:pt>
                <c:pt idx="2">
                  <c:v>2200</c:v>
                </c:pt>
                <c:pt idx="3">
                  <c:v>20633.900000000001</c:v>
                </c:pt>
                <c:pt idx="4">
                  <c:v>176171.66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2-4187-833E-1B45FE39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19392"/>
        <c:axId val="76104012"/>
      </c:barChart>
      <c:catAx>
        <c:axId val="9631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6104012"/>
        <c:crosses val="autoZero"/>
        <c:auto val="1"/>
        <c:lblAlgn val="ctr"/>
        <c:lblOffset val="100"/>
        <c:noMultiLvlLbl val="0"/>
      </c:catAx>
      <c:valAx>
        <c:axId val="76104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6319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Valor en COP por concepto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Resumen!$A$32:$A$39</c:f>
              <c:strCache>
                <c:ptCount val="8"/>
                <c:pt idx="0">
                  <c:v>Epson - procesado</c:v>
                </c:pt>
                <c:pt idx="1">
                  <c:v>Epson - pendiente</c:v>
                </c:pt>
                <c:pt idx="2">
                  <c:v>Intel - pendiente</c:v>
                </c:pt>
                <c:pt idx="3">
                  <c:v>Microsoft - 2025</c:v>
                </c:pt>
                <c:pt idx="4">
                  <c:v>Microsoft - 2026 (a jun)</c:v>
                </c:pt>
                <c:pt idx="5">
                  <c:v>Microsoft - pendiente jul-26</c:v>
                </c:pt>
                <c:pt idx="6">
                  <c:v>HPE tarjeta - equivalente</c:v>
                </c:pt>
                <c:pt idx="7">
                  <c:v>HP - aprobado (3 trimestres)</c:v>
                </c:pt>
              </c:strCache>
            </c:strRef>
          </c:cat>
          <c:val>
            <c:numRef>
              <c:f>Resumen!$B$32:$B$39</c:f>
              <c:numCache>
                <c:formatCode>#,##0</c:formatCode>
                <c:ptCount val="8"/>
                <c:pt idx="0">
                  <c:v>3726371</c:v>
                </c:pt>
                <c:pt idx="1">
                  <c:v>7797900</c:v>
                </c:pt>
                <c:pt idx="2">
                  <c:v>24915000</c:v>
                </c:pt>
                <c:pt idx="3">
                  <c:v>18594373.25</c:v>
                </c:pt>
                <c:pt idx="4">
                  <c:v>62292641.060000002</c:v>
                </c:pt>
                <c:pt idx="5">
                  <c:v>3085577.27</c:v>
                </c:pt>
                <c:pt idx="6">
                  <c:v>990000</c:v>
                </c:pt>
                <c:pt idx="7">
                  <c:v>99346574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8-4633-B6BF-83F9AD3CF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27316"/>
        <c:axId val="79393620"/>
      </c:barChart>
      <c:catAx>
        <c:axId val="340273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9393620"/>
        <c:crosses val="autoZero"/>
        <c:auto val="1"/>
        <c:lblAlgn val="ctr"/>
        <c:lblOffset val="100"/>
        <c:noMultiLvlLbl val="0"/>
      </c:catAx>
      <c:valAx>
        <c:axId val="793936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40273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Incentivos: confirmado vs. por canjear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'HPE Instant On'!$B$15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093-4705-A918-12414A7A184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093-4705-A918-12414A7A184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93-4705-A918-12414A7A184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93-4705-A918-12414A7A1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'HPE Instant On'!$A$16:$A$17</c:f>
              <c:strCache>
                <c:ptCount val="2"/>
                <c:pt idx="0">
                  <c:v>Confirmado</c:v>
                </c:pt>
                <c:pt idx="1">
                  <c:v>Por canjear</c:v>
                </c:pt>
              </c:strCache>
            </c:strRef>
          </c:cat>
          <c:val>
            <c:numRef>
              <c:f>'HPE Instant On'!$B$16:$B$17</c:f>
              <c:numCache>
                <c:formatCode>#,##0.00</c:formatCode>
                <c:ptCount val="2"/>
                <c:pt idx="0" formatCode="General">
                  <c:v>828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93-4705-A918-12414A7A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HP — Beneficio aprobado por trimestre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HP!$C$4</c:f>
              <c:strCache>
                <c:ptCount val="1"/>
                <c:pt idx="0">
                  <c:v>Aprobado (COP)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  <a:scene3d>
              <a:camera prst="orthographicFront"/>
              <a:lightRig rig="threePt" dir="t"/>
            </a:scene3d>
            <a:sp3d>
              <a:bevelT prst="relaxedInset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0FCD13-91DF-49DC-84D5-64EDE781B7C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7C-49A6-8D22-78B71F7A08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7F56DC-8209-4ED8-BED7-1298DC7F0AA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7C-49A6-8D22-78B71F7A08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DB7405-C1DE-4FEF-916A-01D2FFE5817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7C-49A6-8D22-78B71F7A08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5D29170-7C1B-4AE8-BD26-7D7B3C0A1DF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7C-49A6-8D22-78B71F7A08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826A7B-666F-4C89-8709-4CADB0B82A2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7C-49A6-8D22-78B71F7A0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HP!$A$5:$A$9</c:f>
              <c:strCache>
                <c:ptCount val="5"/>
                <c:pt idx="0">
                  <c:v>Q2-2025</c:v>
                </c:pt>
                <c:pt idx="1">
                  <c:v>Q3-2025</c:v>
                </c:pt>
                <c:pt idx="2">
                  <c:v>Q4-2025</c:v>
                </c:pt>
                <c:pt idx="3">
                  <c:v>Q1-2026</c:v>
                </c:pt>
                <c:pt idx="4">
                  <c:v>Q2-2026</c:v>
                </c:pt>
              </c:strCache>
            </c:strRef>
          </c:cat>
          <c:val>
            <c:numRef>
              <c:f>HP!$C$5:$C$9</c:f>
              <c:numCache>
                <c:formatCode>#,##0</c:formatCode>
                <c:ptCount val="5"/>
                <c:pt idx="0">
                  <c:v>14453256</c:v>
                </c:pt>
                <c:pt idx="1">
                  <c:v>41246429</c:v>
                </c:pt>
                <c:pt idx="2">
                  <c:v>43518453</c:v>
                </c:pt>
                <c:pt idx="3">
                  <c:v>58354399</c:v>
                </c:pt>
                <c:pt idx="4">
                  <c:v>41374814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HP!$C$5:$C$9</c15:f>
                <c15:dlblRangeCache>
                  <c:ptCount val="5"/>
                  <c:pt idx="0">
                    <c:v>14.453.256</c:v>
                  </c:pt>
                  <c:pt idx="1">
                    <c:v>41.246.429</c:v>
                  </c:pt>
                  <c:pt idx="2">
                    <c:v>43.518.453</c:v>
                  </c:pt>
                  <c:pt idx="3">
                    <c:v>58.354.399</c:v>
                  </c:pt>
                  <c:pt idx="4">
                    <c:v>41.374.814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7C-49A6-8D22-78B71F7A0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83804"/>
        <c:axId val="51367066"/>
      </c:barChart>
      <c:catAx>
        <c:axId val="90483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1367066"/>
        <c:crosses val="autoZero"/>
        <c:auto val="1"/>
        <c:lblAlgn val="ctr"/>
        <c:lblOffset val="100"/>
        <c:noMultiLvlLbl val="0"/>
      </c:catAx>
      <c:valAx>
        <c:axId val="51367066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crossAx val="90483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Cuota 2026: vendido vs. restante (USD 200,000)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ASUS!$B$24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F41-47FF-BDC3-D5DD7B41424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41-47FF-BDC3-D5DD7B41424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41-47FF-BDC3-D5DD7B41424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41-47FF-BDC3-D5DD7B414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ASUS!$A$25:$A$26</c:f>
              <c:strCache>
                <c:ptCount val="2"/>
                <c:pt idx="0">
                  <c:v>Vendido (ene-jun 2026)</c:v>
                </c:pt>
                <c:pt idx="1">
                  <c:v>Restante para cumplir cuota</c:v>
                </c:pt>
              </c:strCache>
            </c:strRef>
          </c:cat>
          <c:val>
            <c:numRef>
              <c:f>ASUS!$B$25:$B$26</c:f>
              <c:numCache>
                <c:formatCode>#,##0</c:formatCode>
                <c:ptCount val="2"/>
                <c:pt idx="0">
                  <c:v>38472</c:v>
                </c:pt>
                <c:pt idx="1">
                  <c:v>161528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1-47FF-BDC3-D5DD7B41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Consumo Lenovo por año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'Lenovo Tarjeta'!$B$14</c:f>
              <c:strCache>
                <c:ptCount val="1"/>
                <c:pt idx="0">
                  <c:v>Total COP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8D690DB-B8CE-46CD-A0CE-C178D11B573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C08-47F3-A020-9C88E98E94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A27D70-91CE-4F1C-8F8A-1B2A847672F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C08-47F3-A020-9C88E98E94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cat>
            <c:strRef>
              <c:f>'Lenovo Tarjeta'!$A$15:$A$16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'Lenovo Tarjeta'!$B$15:$B$16</c:f>
              <c:numCache>
                <c:formatCode>#,##0</c:formatCode>
                <c:ptCount val="2"/>
                <c:pt idx="0">
                  <c:v>2386800</c:v>
                </c:pt>
                <c:pt idx="1">
                  <c:v>4008800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'Lenovo Tarjeta'!$B$15:$B$16</c15:f>
                <c15:dlblRangeCache>
                  <c:ptCount val="2"/>
                  <c:pt idx="0">
                    <c:v>2.386.800</c:v>
                  </c:pt>
                  <c:pt idx="1">
                    <c:v>4.008.800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C08-47F3-A020-9C88E98E9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61337"/>
        <c:axId val="59216727"/>
      </c:barChart>
      <c:catAx>
        <c:axId val="794613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9216727"/>
        <c:crosses val="autoZero"/>
        <c:auto val="1"/>
        <c:lblAlgn val="ctr"/>
        <c:lblOffset val="100"/>
        <c:noMultiLvlLbl val="0"/>
      </c:catAx>
      <c:valAx>
        <c:axId val="59216727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crossAx val="79461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Rebates Lenovo por año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'Lenovo Canales'!$B$4</c:f>
              <c:strCache>
                <c:ptCount val="1"/>
                <c:pt idx="0">
                  <c:v>Total (USD)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660D613-2066-47A7-895D-A39A7BB663C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C6-4AE8-8D32-C192FFA8C2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DF117A-6DE1-45B0-940A-9A93038C5C2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C6-4AE8-8D32-C192FFA8C23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550134-F3B5-4FF8-B941-572F2C0FECC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FC6-4AE8-8D32-C192FFA8C2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ECD5C8-60E1-48CB-8D68-27B6BFCFF87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FC6-4AE8-8D32-C192FFA8C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'Lenovo Canales'!$A$5:$A$8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 (proyección)</c:v>
                </c:pt>
              </c:strCache>
            </c:strRef>
          </c:cat>
          <c:val>
            <c:numRef>
              <c:f>'Lenovo Canales'!$B$5:$B$8</c:f>
              <c:numCache>
                <c:formatCode>#,##0.00</c:formatCode>
                <c:ptCount val="4"/>
                <c:pt idx="0">
                  <c:v>19962.95</c:v>
                </c:pt>
                <c:pt idx="1">
                  <c:v>58529.23</c:v>
                </c:pt>
                <c:pt idx="2">
                  <c:v>68165.62</c:v>
                </c:pt>
                <c:pt idx="3">
                  <c:v>82535.600000000006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'Lenovo Canales'!$B$5:$B$8</c15:f>
                <c15:dlblRangeCache>
                  <c:ptCount val="4"/>
                  <c:pt idx="0">
                    <c:v>19.962,95</c:v>
                  </c:pt>
                  <c:pt idx="1">
                    <c:v>58.529,23</c:v>
                  </c:pt>
                  <c:pt idx="2">
                    <c:v>68.165,62</c:v>
                  </c:pt>
                  <c:pt idx="3">
                    <c:v>82.535,60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FC6-4AE8-8D32-C192FFA8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037911"/>
        <c:axId val="11571031"/>
      </c:lineChart>
      <c:catAx>
        <c:axId val="94037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1571031"/>
        <c:crosses val="autoZero"/>
        <c:auto val="1"/>
        <c:lblAlgn val="ctr"/>
        <c:lblOffset val="100"/>
        <c:noMultiLvlLbl val="0"/>
      </c:catAx>
      <c:valAx>
        <c:axId val="11571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4037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Distribución por estado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4CA-46D5-9870-4F711153499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4CA-46D5-9870-4F7111534999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1" strike="noStrike" spc="-1">
                        <a:solidFill>
                          <a:srgbClr val="000000"/>
                        </a:solidFill>
                        <a:latin typeface="Arial"/>
                      </a:defRPr>
                    </a:pPr>
                    <a:fld id="{C092ACD1-AAEB-4894-A08A-F9D4162EB301}" type="CELLRANGE">
                      <a:rPr lang="en-US"/>
                      <a:pPr>
                        <a:defRPr sz="1000" b="1" strike="noStrike" spc="-1">
                          <a:solidFill>
                            <a:srgbClr val="000000"/>
                          </a:solidFill>
                          <a:latin typeface="Arial"/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242686157083661"/>
                      <c:h val="0.1638777097889020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4CA-46D5-9870-4F7111534999}"/>
                </c:ext>
              </c:extLst>
            </c:dLbl>
            <c:dLbl>
              <c:idx val="1"/>
              <c:layout>
                <c:manualLayout>
                  <c:x val="-1.9618532069201874E-2"/>
                  <c:y val="-7.7512305321584133E-3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1" strike="noStrike" spc="-1">
                        <a:solidFill>
                          <a:srgbClr val="000000"/>
                        </a:solidFill>
                        <a:latin typeface="Arial"/>
                      </a:defRPr>
                    </a:pPr>
                    <a:fld id="{647861F2-CE15-47F1-A7F6-57575615F4E1}" type="CELLRANGE">
                      <a:rPr lang="en-US"/>
                      <a:pPr>
                        <a:defRPr sz="1000" b="1" strike="noStrike" spc="-1">
                          <a:solidFill>
                            <a:srgbClr val="000000"/>
                          </a:solidFill>
                          <a:latin typeface="Arial"/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508746145969384"/>
                      <c:h val="0.1638777097889020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4CA-46D5-9870-4F7111534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Microsoft!$A$23:$A$24</c:f>
              <c:strCache>
                <c:ptCount val="2"/>
                <c:pt idx="0">
                  <c:v>Pagado (2025+2026)</c:v>
                </c:pt>
                <c:pt idx="1">
                  <c:v>Pendiente (Upcoming, jul-2026)</c:v>
                </c:pt>
              </c:strCache>
            </c:strRef>
          </c:cat>
          <c:val>
            <c:numRef>
              <c:f>Microsoft!$B$23:$B$24</c:f>
              <c:numCache>
                <c:formatCode>_("$"* #,##0.00_);_("$"* \(#,##0.00\);_("$"* "-"??_);_(@_)</c:formatCode>
                <c:ptCount val="2"/>
                <c:pt idx="0">
                  <c:v>80887014.310000002</c:v>
                </c:pt>
                <c:pt idx="1">
                  <c:v>3085577.27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Microsoft!$B$23:$B$25</c15:f>
                <c15:dlblRangeCache>
                  <c:ptCount val="3"/>
                  <c:pt idx="0">
                    <c:v> $ 80.887.014,31 </c:v>
                  </c:pt>
                  <c:pt idx="1">
                    <c:v> $ 3.085.577,27 </c:v>
                  </c:pt>
                  <c:pt idx="2">
                    <c:v>83.972.591,58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4CA-46D5-9870-4F711153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Pagado por año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324243658341706E-2"/>
          <c:y val="0.20352078127594916"/>
          <c:w val="0.73434493604440609"/>
          <c:h val="0.675013410045794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BF2F6E5-4F12-49BC-AFAE-17B6A1ABA1A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7222240228399"/>
                      <c:h val="0.1551556615208996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4D7-4207-BAC5-1D9F8662C070}"/>
                </c:ext>
              </c:extLst>
            </c:dLbl>
            <c:dLbl>
              <c:idx val="1"/>
              <c:layout>
                <c:manualLayout>
                  <c:x val="6.9796641362507086E-2"/>
                  <c:y val="1.4545843267584352E-2"/>
                </c:manualLayout>
              </c:layout>
              <c:tx>
                <c:rich>
                  <a:bodyPr/>
                  <a:lstStyle/>
                  <a:p>
                    <a:fld id="{7857F49B-A4E3-4EBC-BDBE-8DD1420001D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1995496263561585"/>
                      <c:h val="0.1357612038307871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4D7-4207-BAC5-1D9F8662C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Microsoft!$A$29:$A$30</c:f>
              <c:strCache>
                <c:ptCount val="2"/>
                <c:pt idx="0">
                  <c:v>2025</c:v>
                </c:pt>
                <c:pt idx="1">
                  <c:v>2026 (a jun, pagado)</c:v>
                </c:pt>
              </c:strCache>
            </c:strRef>
          </c:cat>
          <c:val>
            <c:numRef>
              <c:f>Microsoft!$B$29:$B$30</c:f>
              <c:numCache>
                <c:formatCode>#,##0.00</c:formatCode>
                <c:ptCount val="2"/>
                <c:pt idx="0">
                  <c:v>18594373.25</c:v>
                </c:pt>
                <c:pt idx="1">
                  <c:v>62292641.060000002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Microsoft!$B$29:$B$30</c15:f>
                <c15:dlblRangeCache>
                  <c:ptCount val="2"/>
                  <c:pt idx="0">
                    <c:v>18.594.373,25</c:v>
                  </c:pt>
                  <c:pt idx="1">
                    <c:v>62.292.641,06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4D7-4207-BAC5-1D9F8662C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42055"/>
        <c:axId val="59576453"/>
      </c:barChart>
      <c:catAx>
        <c:axId val="819420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9576453"/>
        <c:crosses val="autoZero"/>
        <c:auto val="1"/>
        <c:lblAlgn val="ctr"/>
        <c:lblOffset val="100"/>
        <c:noMultiLvlLbl val="0"/>
      </c:catAx>
      <c:valAx>
        <c:axId val="59576453"/>
        <c:scaling>
          <c:orientation val="minMax"/>
        </c:scaling>
        <c:delete val="1"/>
        <c:axPos val="l"/>
        <c:numFmt formatCode="#,##0.00" sourceLinked="0"/>
        <c:majorTickMark val="none"/>
        <c:minorTickMark val="none"/>
        <c:tickLblPos val="nextTo"/>
        <c:crossAx val="819420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Epson: procesado vs. pendiente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Epson!$B$16</c:f>
              <c:strCache>
                <c:ptCount val="1"/>
                <c:pt idx="0">
                  <c:v>COP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51-483E-9510-9085D525088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51-483E-9510-9085D52508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51-483E-9510-9085D52508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51-483E-9510-9085D52508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Epson!$A$17:$A$18</c:f>
              <c:strCache>
                <c:ptCount val="2"/>
                <c:pt idx="0">
                  <c:v>Procesado</c:v>
                </c:pt>
                <c:pt idx="1">
                  <c:v>Pendiente</c:v>
                </c:pt>
              </c:strCache>
            </c:strRef>
          </c:cat>
          <c:val>
            <c:numRef>
              <c:f>Epson!$B$17:$B$18</c:f>
              <c:numCache>
                <c:formatCode>#,##0</c:formatCode>
                <c:ptCount val="2"/>
                <c:pt idx="0">
                  <c:v>3726371</c:v>
                </c:pt>
                <c:pt idx="1">
                  <c:v>12628000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51-483E-9510-9085D5250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831611644874677E-2"/>
          <c:y val="0.17168231700418599"/>
          <c:w val="0.83753507187748322"/>
          <c:h val="0.60758855644062482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1"/>
              <c:pt idx="0">
                <c:v>FY22-Q1</c:v>
              </c:pt>
              <c:pt idx="1">
                <c:v>FY22-Q2</c:v>
              </c:pt>
              <c:pt idx="2">
                <c:v>FY22-Q3</c:v>
              </c:pt>
              <c:pt idx="3">
                <c:v>FY22-Q4</c:v>
              </c:pt>
              <c:pt idx="4">
                <c:v>FY23-Q1</c:v>
              </c:pt>
              <c:pt idx="5">
                <c:v>FY23-Q2</c:v>
              </c:pt>
              <c:pt idx="6">
                <c:v>FY23-Q3</c:v>
              </c:pt>
              <c:pt idx="7">
                <c:v>FY23-Q4</c:v>
              </c:pt>
              <c:pt idx="8">
                <c:v>FY24-Q1</c:v>
              </c:pt>
              <c:pt idx="9">
                <c:v>FY24-Q2</c:v>
              </c:pt>
              <c:pt idx="10">
                <c:v>FY24-Q3</c:v>
              </c:pt>
              <c:pt idx="11">
                <c:v>FY24-Q4</c:v>
              </c:pt>
              <c:pt idx="12">
                <c:v>FY25-Q1</c:v>
              </c:pt>
              <c:pt idx="13">
                <c:v>FY25-Q2</c:v>
              </c:pt>
              <c:pt idx="14">
                <c:v>FY25-Q3</c:v>
              </c:pt>
              <c:pt idx="15">
                <c:v>FY25-Q4</c:v>
              </c:pt>
              <c:pt idx="16">
                <c:v>FY26-Q1</c:v>
              </c:pt>
              <c:pt idx="17">
                <c:v>FY26-Q2</c:v>
              </c:pt>
              <c:pt idx="18">
                <c:v>FY26-Q3</c:v>
              </c:pt>
              <c:pt idx="19">
                <c:v>FY26-Q4</c:v>
              </c:pt>
              <c:pt idx="20">
                <c:v>FY27-Q1</c:v>
              </c:pt>
            </c:strLit>
          </c:cat>
          <c:val>
            <c:numLit>
              <c:formatCode>General</c:formatCode>
              <c:ptCount val="21"/>
              <c:pt idx="0">
                <c:v>50</c:v>
              </c:pt>
              <c:pt idx="1">
                <c:v>415</c:v>
              </c:pt>
              <c:pt idx="2">
                <c:v>540</c:v>
              </c:pt>
              <c:pt idx="3">
                <c:v>375</c:v>
              </c:pt>
              <c:pt idx="4">
                <c:v>135</c:v>
              </c:pt>
              <c:pt idx="5">
                <c:v>120</c:v>
              </c:pt>
              <c:pt idx="6">
                <c:v>490</c:v>
              </c:pt>
              <c:pt idx="7">
                <c:v>420</c:v>
              </c:pt>
              <c:pt idx="8">
                <c:v>65</c:v>
              </c:pt>
              <c:pt idx="9">
                <c:v>715</c:v>
              </c:pt>
              <c:pt idx="10">
                <c:v>505</c:v>
              </c:pt>
              <c:pt idx="11">
                <c:v>1342</c:v>
              </c:pt>
              <c:pt idx="12">
                <c:v>2154</c:v>
              </c:pt>
              <c:pt idx="13">
                <c:v>1102</c:v>
              </c:pt>
              <c:pt idx="14">
                <c:v>1159</c:v>
              </c:pt>
              <c:pt idx="15">
                <c:v>705</c:v>
              </c:pt>
              <c:pt idx="16">
                <c:v>159</c:v>
              </c:pt>
              <c:pt idx="17">
                <c:v>298</c:v>
              </c:pt>
              <c:pt idx="18">
                <c:v>1110</c:v>
              </c:pt>
              <c:pt idx="19">
                <c:v>676</c:v>
              </c:pt>
              <c:pt idx="20">
                <c:v>370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DA8-492D-92C1-12CB41D5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688896"/>
        <c:axId val="1850689856"/>
      </c:lineChart>
      <c:catAx>
        <c:axId val="18506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0689856"/>
        <c:crosses val="autoZero"/>
        <c:auto val="1"/>
        <c:lblAlgn val="ctr"/>
        <c:lblOffset val="100"/>
        <c:noMultiLvlLbl val="0"/>
      </c:catAx>
      <c:valAx>
        <c:axId val="1850689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06888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12</xdr:col>
      <xdr:colOff>400740</xdr:colOff>
      <xdr:row>35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29</xdr:row>
      <xdr:rowOff>0</xdr:rowOff>
    </xdr:from>
    <xdr:to>
      <xdr:col>12</xdr:col>
      <xdr:colOff>400740</xdr:colOff>
      <xdr:row>44</xdr:row>
      <xdr:rowOff>20520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145440</xdr:rowOff>
    </xdr:from>
    <xdr:to>
      <xdr:col>12</xdr:col>
      <xdr:colOff>397080</xdr:colOff>
      <xdr:row>24</xdr:row>
      <xdr:rowOff>159250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1</xdr:row>
      <xdr:rowOff>10895</xdr:rowOff>
    </xdr:from>
    <xdr:to>
      <xdr:col>15</xdr:col>
      <xdr:colOff>221125</xdr:colOff>
      <xdr:row>15</xdr:row>
      <xdr:rowOff>46930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5</xdr:row>
      <xdr:rowOff>202590</xdr:rowOff>
    </xdr:from>
    <xdr:to>
      <xdr:col>12</xdr:col>
      <xdr:colOff>133965</xdr:colOff>
      <xdr:row>13</xdr:row>
      <xdr:rowOff>144360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37490</xdr:rowOff>
    </xdr:from>
    <xdr:to>
      <xdr:col>12</xdr:col>
      <xdr:colOff>505440</xdr:colOff>
      <xdr:row>15</xdr:row>
      <xdr:rowOff>177940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2752725</xdr:colOff>
      <xdr:row>0</xdr:row>
      <xdr:rowOff>107340</xdr:rowOff>
    </xdr:from>
    <xdr:to>
      <xdr:col>10</xdr:col>
      <xdr:colOff>819765</xdr:colOff>
      <xdr:row>15</xdr:row>
      <xdr:rowOff>83050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968375</xdr:colOff>
      <xdr:row>0</xdr:row>
      <xdr:rowOff>221640</xdr:rowOff>
    </xdr:from>
    <xdr:to>
      <xdr:col>10</xdr:col>
      <xdr:colOff>531915</xdr:colOff>
      <xdr:row>15</xdr:row>
      <xdr:rowOff>9205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962025</xdr:colOff>
      <xdr:row>15</xdr:row>
      <xdr:rowOff>85115</xdr:rowOff>
    </xdr:from>
    <xdr:to>
      <xdr:col>10</xdr:col>
      <xdr:colOff>522390</xdr:colOff>
      <xdr:row>28</xdr:row>
      <xdr:rowOff>40595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145440</xdr:rowOff>
    </xdr:from>
    <xdr:to>
      <xdr:col>8</xdr:col>
      <xdr:colOff>294800</xdr:colOff>
      <xdr:row>28</xdr:row>
      <xdr:rowOff>162065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13</xdr:col>
      <xdr:colOff>454025</xdr:colOff>
      <xdr:row>26</xdr:row>
      <xdr:rowOff>23813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758BC5-78C5-4912-9886-57F605D96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10</xdr:col>
      <xdr:colOff>388883</xdr:colOff>
      <xdr:row>46</xdr:row>
      <xdr:rowOff>121078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91C9F1-3439-46D2-9B9A-4EFB951C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4525"/>
          <a:ext cx="10980683" cy="3016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topLeftCell="A20" zoomScaleNormal="100" workbookViewId="0">
      <selection activeCell="C6" sqref="C6"/>
    </sheetView>
  </sheetViews>
  <sheetFormatPr baseColWidth="10" defaultColWidth="8.5703125" defaultRowHeight="15" x14ac:dyDescent="0.25"/>
  <cols>
    <col min="1" max="1" width="32" customWidth="1"/>
    <col min="2" max="2" width="20" customWidth="1"/>
    <col min="3" max="5" width="22" customWidth="1"/>
    <col min="6" max="6" width="45" customWidth="1"/>
  </cols>
  <sheetData>
    <row r="1" spans="1:5" ht="18" customHeight="1" x14ac:dyDescent="0.3">
      <c r="A1" s="1" t="s">
        <v>0</v>
      </c>
    </row>
    <row r="2" spans="1:5" ht="15" customHeight="1" x14ac:dyDescent="0.25">
      <c r="A2" s="2" t="s">
        <v>1</v>
      </c>
    </row>
    <row r="4" spans="1:5" ht="23.2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0" customHeight="1" x14ac:dyDescent="0.25">
      <c r="A5" s="54" t="s">
        <v>7</v>
      </c>
      <c r="B5" s="54">
        <f>'HPE Instant On'!C11</f>
        <v>586</v>
      </c>
      <c r="C5" s="54">
        <f>B5*4000</f>
        <v>2344000</v>
      </c>
      <c r="D5" s="54">
        <f>'HPE Instant On'!C12</f>
        <v>242</v>
      </c>
      <c r="E5" s="54">
        <f>D5*4000</f>
        <v>968000</v>
      </c>
    </row>
    <row r="6" spans="1:5" ht="30" customHeight="1" x14ac:dyDescent="0.25">
      <c r="A6" s="54" t="s">
        <v>8</v>
      </c>
      <c r="B6" s="54">
        <f>'HPE Tarjeta'!B7</f>
        <v>300</v>
      </c>
      <c r="C6" s="54">
        <f>'HPE Tarjeta'!B8</f>
        <v>990000</v>
      </c>
      <c r="D6" s="54">
        <v>0</v>
      </c>
      <c r="E6" s="54">
        <v>0</v>
      </c>
    </row>
    <row r="7" spans="1:5" ht="30" customHeight="1" x14ac:dyDescent="0.25">
      <c r="A7" s="54" t="s">
        <v>9</v>
      </c>
      <c r="B7" s="54">
        <f>HP!F10</f>
        <v>50057.200387974226</v>
      </c>
      <c r="C7" s="54">
        <f>HP!B10</f>
        <v>184494002</v>
      </c>
      <c r="D7" s="54">
        <v>0</v>
      </c>
      <c r="E7" s="54">
        <v>0</v>
      </c>
    </row>
    <row r="8" spans="1:5" ht="30" customHeight="1" x14ac:dyDescent="0.25">
      <c r="A8" s="55" t="s">
        <v>10</v>
      </c>
      <c r="B8" s="55"/>
      <c r="C8" s="55"/>
      <c r="D8" s="55"/>
      <c r="E8" s="55"/>
    </row>
    <row r="9" spans="1:5" ht="30" customHeight="1" x14ac:dyDescent="0.25">
      <c r="A9" s="55" t="s">
        <v>344</v>
      </c>
      <c r="B9" s="55">
        <f>'Lenovo Tarjeta'!B5</f>
        <v>2200</v>
      </c>
      <c r="C9" s="55">
        <f>'Lenovo Tarjeta'!C15</f>
        <v>6395600</v>
      </c>
      <c r="D9" s="55">
        <f>'Lenovo Tarjeta'!B10</f>
        <v>622.04999999999995</v>
      </c>
      <c r="E9" s="55">
        <f>D9*3400</f>
        <v>2114970</v>
      </c>
    </row>
    <row r="10" spans="1:5" ht="30" customHeight="1" x14ac:dyDescent="0.25">
      <c r="A10" s="55" t="s">
        <v>345</v>
      </c>
      <c r="B10" s="55">
        <f>'Lenovo Canales'!K24+'Lenovo Canales'!K25</f>
        <v>88799.51999999999</v>
      </c>
      <c r="C10" s="55">
        <f>'Lenovo Canales'!K27</f>
        <v>319678271.99999994</v>
      </c>
      <c r="D10" s="55"/>
      <c r="E10" s="55"/>
    </row>
    <row r="11" spans="1:5" ht="30" customHeight="1" x14ac:dyDescent="0.25">
      <c r="A11" s="54" t="s">
        <v>11</v>
      </c>
      <c r="B11" s="54">
        <f>'Lenovo Canales'!B16</f>
        <v>20633.900000000001</v>
      </c>
      <c r="C11" s="54">
        <f>'Lenovo Canales'!C16</f>
        <v>74475266</v>
      </c>
      <c r="D11" s="54">
        <f>'Lenovo Canales'!B16</f>
        <v>20633.900000000001</v>
      </c>
      <c r="E11" s="54">
        <f>'Lenovo Canales'!C16</f>
        <v>74475266</v>
      </c>
    </row>
    <row r="12" spans="1:5" ht="30" customHeight="1" x14ac:dyDescent="0.25">
      <c r="A12" s="54" t="s">
        <v>12</v>
      </c>
      <c r="B12" s="54">
        <f>Epson!D7+Epson!D10+Epson!D11+Epson!D12</f>
        <v>1324</v>
      </c>
      <c r="C12" s="54">
        <f>Epson!F13</f>
        <v>7455100</v>
      </c>
      <c r="D12" s="54">
        <f>Epson!B18</f>
        <v>12628000</v>
      </c>
      <c r="E12" s="54">
        <f>Epson!B18</f>
        <v>12628000</v>
      </c>
    </row>
    <row r="13" spans="1:5" ht="30" customHeight="1" x14ac:dyDescent="0.25">
      <c r="A13" s="54" t="s">
        <v>13</v>
      </c>
      <c r="B13" s="54">
        <v>0</v>
      </c>
      <c r="C13" s="54">
        <v>0</v>
      </c>
      <c r="D13" s="54">
        <f>Intel!D8/4000</f>
        <v>6228.75</v>
      </c>
      <c r="E13" s="54">
        <f>Intel!D8</f>
        <v>24915000</v>
      </c>
    </row>
    <row r="14" spans="1:5" ht="30" customHeight="1" x14ac:dyDescent="0.25">
      <c r="A14" s="54" t="s">
        <v>14</v>
      </c>
      <c r="B14" s="54">
        <f>Microsoft!C23</f>
        <v>20221.7535775</v>
      </c>
      <c r="C14" s="54">
        <f>Microsoft!B23</f>
        <v>80887014.310000002</v>
      </c>
      <c r="D14" s="54">
        <f>Microsoft!C24</f>
        <v>771.39431750000006</v>
      </c>
      <c r="E14" s="54">
        <f>Microsoft!B24</f>
        <v>3085577.27</v>
      </c>
    </row>
    <row r="15" spans="1:5" x14ac:dyDescent="0.25">
      <c r="A15" s="54" t="s">
        <v>15</v>
      </c>
      <c r="B15" s="54">
        <f>'Dell Rebates'!F30</f>
        <v>49053.250000000007</v>
      </c>
      <c r="C15" s="54">
        <f>'Dell Rebates'!G30</f>
        <v>176591700</v>
      </c>
      <c r="D15" s="54"/>
      <c r="E15" s="54"/>
    </row>
    <row r="16" spans="1:5" x14ac:dyDescent="0.25">
      <c r="A16" s="54" t="s">
        <v>16</v>
      </c>
      <c r="B16" s="54"/>
      <c r="C16" s="54"/>
      <c r="D16" s="54"/>
      <c r="E16" s="54"/>
    </row>
    <row r="17" spans="1:5" x14ac:dyDescent="0.25">
      <c r="A17" s="54" t="s">
        <v>17</v>
      </c>
      <c r="B17" s="54">
        <v>0</v>
      </c>
      <c r="C17" s="54">
        <v>0</v>
      </c>
      <c r="D17" s="54">
        <v>0</v>
      </c>
      <c r="E17" s="54">
        <v>0</v>
      </c>
    </row>
    <row r="18" spans="1:5" x14ac:dyDescent="0.25">
      <c r="A18" s="3"/>
      <c r="B18" s="53">
        <f>SUM(B5:B17)</f>
        <v>233175.62396547422</v>
      </c>
      <c r="C18" s="53">
        <f t="shared" ref="C18:E18" si="0">SUM(C5:C17)</f>
        <v>853310954.30999994</v>
      </c>
      <c r="D18" s="53">
        <f t="shared" si="0"/>
        <v>12656498.0943175</v>
      </c>
      <c r="E18" s="53">
        <f t="shared" si="0"/>
        <v>118186813.27</v>
      </c>
    </row>
    <row r="19" spans="1:5" ht="15" customHeight="1" x14ac:dyDescent="0.25">
      <c r="A19" s="5"/>
    </row>
    <row r="21" spans="1:5" ht="15" customHeight="1" x14ac:dyDescent="0.25">
      <c r="A21" s="6" t="s">
        <v>18</v>
      </c>
    </row>
    <row r="22" spans="1:5" ht="15" customHeight="1" x14ac:dyDescent="0.25">
      <c r="A22" t="s">
        <v>19</v>
      </c>
      <c r="B22" t="s">
        <v>20</v>
      </c>
    </row>
    <row r="23" spans="1:5" ht="15" customHeight="1" x14ac:dyDescent="0.25">
      <c r="A23" t="s">
        <v>21</v>
      </c>
      <c r="B23" s="7">
        <v>828</v>
      </c>
    </row>
    <row r="24" spans="1:5" ht="15" customHeight="1" x14ac:dyDescent="0.25">
      <c r="A24" t="s">
        <v>22</v>
      </c>
      <c r="B24" s="7">
        <v>300</v>
      </c>
    </row>
    <row r="25" spans="1:5" ht="15" customHeight="1" x14ac:dyDescent="0.25">
      <c r="A25" t="s">
        <v>23</v>
      </c>
      <c r="B25" s="7">
        <v>2200</v>
      </c>
    </row>
    <row r="26" spans="1:5" ht="15" customHeight="1" x14ac:dyDescent="0.25">
      <c r="A26" t="s">
        <v>24</v>
      </c>
      <c r="B26" s="7">
        <v>20633.900000000001</v>
      </c>
    </row>
    <row r="27" spans="1:5" ht="15" customHeight="1" x14ac:dyDescent="0.25">
      <c r="A27" t="s">
        <v>25</v>
      </c>
      <c r="B27" s="7">
        <v>176171.66</v>
      </c>
    </row>
    <row r="30" spans="1:5" ht="15" customHeight="1" x14ac:dyDescent="0.25">
      <c r="A30" s="6" t="s">
        <v>26</v>
      </c>
    </row>
    <row r="31" spans="1:5" ht="15" customHeight="1" x14ac:dyDescent="0.25">
      <c r="A31" t="s">
        <v>27</v>
      </c>
      <c r="B31" t="s">
        <v>28</v>
      </c>
    </row>
    <row r="32" spans="1:5" ht="15" customHeight="1" x14ac:dyDescent="0.25">
      <c r="A32" t="s">
        <v>29</v>
      </c>
      <c r="B32" s="8">
        <v>3726371</v>
      </c>
    </row>
    <row r="33" spans="1:2" ht="15" customHeight="1" x14ac:dyDescent="0.25">
      <c r="A33" t="s">
        <v>30</v>
      </c>
      <c r="B33" s="8">
        <v>7797900</v>
      </c>
    </row>
    <row r="34" spans="1:2" ht="15" customHeight="1" x14ac:dyDescent="0.25">
      <c r="A34" t="s">
        <v>31</v>
      </c>
      <c r="B34" s="8">
        <v>24915000</v>
      </c>
    </row>
    <row r="35" spans="1:2" ht="15" customHeight="1" x14ac:dyDescent="0.25">
      <c r="A35" t="s">
        <v>32</v>
      </c>
      <c r="B35" s="8">
        <v>18594373.25</v>
      </c>
    </row>
    <row r="36" spans="1:2" ht="15" customHeight="1" x14ac:dyDescent="0.25">
      <c r="A36" t="s">
        <v>33</v>
      </c>
      <c r="B36" s="8">
        <v>62292641.060000002</v>
      </c>
    </row>
    <row r="37" spans="1:2" ht="15" customHeight="1" x14ac:dyDescent="0.25">
      <c r="A37" t="s">
        <v>34</v>
      </c>
      <c r="B37" s="8">
        <v>3085577.27</v>
      </c>
    </row>
    <row r="38" spans="1:2" ht="15" customHeight="1" x14ac:dyDescent="0.25">
      <c r="A38" t="s">
        <v>35</v>
      </c>
      <c r="B38" s="8">
        <v>990000</v>
      </c>
    </row>
    <row r="39" spans="1:2" ht="15" customHeight="1" x14ac:dyDescent="0.25">
      <c r="A39" t="s">
        <v>36</v>
      </c>
      <c r="B39" s="8">
        <v>99346574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opLeftCell="A27" zoomScaleNormal="100" workbookViewId="0">
      <selection activeCell="A22" sqref="A22"/>
    </sheetView>
  </sheetViews>
  <sheetFormatPr baseColWidth="10" defaultColWidth="8.5703125" defaultRowHeight="15" x14ac:dyDescent="0.25"/>
  <cols>
    <col min="1" max="1" width="14" customWidth="1"/>
    <col min="2" max="2" width="26" customWidth="1"/>
    <col min="3" max="5" width="16" customWidth="1"/>
  </cols>
  <sheetData>
    <row r="1" spans="1:5" ht="18" customHeight="1" x14ac:dyDescent="0.3">
      <c r="A1" s="1" t="s">
        <v>7</v>
      </c>
    </row>
    <row r="2" spans="1:5" ht="15" customHeight="1" x14ac:dyDescent="0.25">
      <c r="A2" s="2" t="s">
        <v>37</v>
      </c>
    </row>
    <row r="4" spans="1:5" ht="15" customHeight="1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spans="1:5" ht="15" customHeight="1" x14ac:dyDescent="0.25">
      <c r="A5" s="9" t="s">
        <v>43</v>
      </c>
      <c r="B5" s="9" t="s">
        <v>44</v>
      </c>
      <c r="C5" s="10">
        <v>242</v>
      </c>
      <c r="D5" s="9" t="s">
        <v>56</v>
      </c>
      <c r="E5" s="9" t="s">
        <v>46</v>
      </c>
    </row>
    <row r="6" spans="1:5" ht="15" customHeight="1" x14ac:dyDescent="0.25">
      <c r="A6" s="9" t="s">
        <v>47</v>
      </c>
      <c r="B6" s="9" t="s">
        <v>48</v>
      </c>
      <c r="C6" s="10">
        <v>95</v>
      </c>
      <c r="D6" s="9" t="s">
        <v>45</v>
      </c>
      <c r="E6" s="9" t="s">
        <v>49</v>
      </c>
    </row>
    <row r="7" spans="1:5" ht="15" customHeight="1" x14ac:dyDescent="0.25">
      <c r="A7" s="9" t="s">
        <v>50</v>
      </c>
      <c r="B7" s="9" t="s">
        <v>51</v>
      </c>
      <c r="C7" s="10">
        <v>88</v>
      </c>
      <c r="D7" s="9" t="s">
        <v>45</v>
      </c>
      <c r="E7" s="9" t="s">
        <v>52</v>
      </c>
    </row>
    <row r="8" spans="1:5" ht="15" customHeight="1" x14ac:dyDescent="0.25">
      <c r="A8" s="9" t="s">
        <v>53</v>
      </c>
      <c r="B8" s="9" t="s">
        <v>54</v>
      </c>
      <c r="C8" s="10">
        <v>403</v>
      </c>
      <c r="D8" s="9" t="s">
        <v>45</v>
      </c>
      <c r="E8" s="9" t="s">
        <v>55</v>
      </c>
    </row>
    <row r="9" spans="1:5" ht="15" customHeight="1" x14ac:dyDescent="0.25">
      <c r="A9" s="12" t="s">
        <v>57</v>
      </c>
      <c r="B9" s="13"/>
      <c r="C9" s="14">
        <f>SUM(C5:C8)</f>
        <v>828</v>
      </c>
      <c r="D9" s="13"/>
      <c r="E9" s="13"/>
    </row>
    <row r="11" spans="1:5" ht="15" customHeight="1" x14ac:dyDescent="0.25">
      <c r="A11" s="15" t="s">
        <v>58</v>
      </c>
      <c r="C11" s="7">
        <f>SUMIF(D5:D8,"Confirmado",C5:C8)</f>
        <v>586</v>
      </c>
    </row>
    <row r="12" spans="1:5" ht="15" customHeight="1" x14ac:dyDescent="0.25">
      <c r="A12" s="16" t="s">
        <v>59</v>
      </c>
      <c r="C12" s="7">
        <f>SUMIF(D5:D8,"Por canjear",C5:C8)</f>
        <v>242</v>
      </c>
    </row>
    <row r="14" spans="1:5" ht="15" customHeight="1" x14ac:dyDescent="0.25">
      <c r="A14" s="6" t="s">
        <v>60</v>
      </c>
    </row>
    <row r="15" spans="1:5" ht="15" customHeight="1" x14ac:dyDescent="0.25">
      <c r="A15" t="s">
        <v>41</v>
      </c>
      <c r="B15" t="s">
        <v>20</v>
      </c>
    </row>
    <row r="16" spans="1:5" ht="15" customHeight="1" x14ac:dyDescent="0.25">
      <c r="A16" t="s">
        <v>45</v>
      </c>
      <c r="B16">
        <v>828</v>
      </c>
    </row>
    <row r="17" spans="1:2" ht="15" customHeight="1" x14ac:dyDescent="0.25">
      <c r="A17" t="s">
        <v>56</v>
      </c>
      <c r="B17" s="7">
        <f>C5</f>
        <v>242</v>
      </c>
    </row>
    <row r="18" spans="1:2" ht="15" customHeight="1" x14ac:dyDescent="0.25">
      <c r="A18" s="2" t="s">
        <v>61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zoomScaleNormal="100" workbookViewId="0">
      <selection activeCell="C23" sqref="C23"/>
    </sheetView>
  </sheetViews>
  <sheetFormatPr baseColWidth="10" defaultColWidth="8.5703125" defaultRowHeight="15" x14ac:dyDescent="0.25"/>
  <cols>
    <col min="1" max="1" width="38" customWidth="1"/>
    <col min="2" max="2" width="36.7109375" bestFit="1" customWidth="1"/>
    <col min="3" max="3" width="20" customWidth="1"/>
    <col min="4" max="4" width="18" customWidth="1"/>
  </cols>
  <sheetData>
    <row r="1" spans="1:2" ht="18" customHeight="1" x14ac:dyDescent="0.3">
      <c r="A1" s="1" t="s">
        <v>62</v>
      </c>
    </row>
    <row r="2" spans="1:2" ht="15" customHeight="1" x14ac:dyDescent="0.25">
      <c r="A2" s="2" t="s">
        <v>63</v>
      </c>
    </row>
    <row r="4" spans="1:2" ht="15" customHeight="1" x14ac:dyDescent="0.25">
      <c r="A4" s="3" t="s">
        <v>27</v>
      </c>
      <c r="B4" s="3" t="s">
        <v>64</v>
      </c>
    </row>
    <row r="5" spans="1:2" ht="15" customHeight="1" x14ac:dyDescent="0.25">
      <c r="A5" s="17" t="s">
        <v>65</v>
      </c>
      <c r="B5" s="18" t="s">
        <v>66</v>
      </c>
    </row>
    <row r="6" spans="1:2" ht="15" customHeight="1" x14ac:dyDescent="0.25">
      <c r="A6" s="17" t="s">
        <v>67</v>
      </c>
      <c r="B6" s="18" t="s">
        <v>68</v>
      </c>
    </row>
    <row r="7" spans="1:2" ht="15" customHeight="1" x14ac:dyDescent="0.25">
      <c r="A7" s="17" t="s">
        <v>69</v>
      </c>
      <c r="B7" s="19">
        <v>300</v>
      </c>
    </row>
    <row r="8" spans="1:2" ht="15" customHeight="1" x14ac:dyDescent="0.25">
      <c r="A8" s="17" t="s">
        <v>70</v>
      </c>
      <c r="B8" s="19">
        <v>990000</v>
      </c>
    </row>
    <row r="9" spans="1:2" ht="15" customHeight="1" x14ac:dyDescent="0.25">
      <c r="A9" s="17" t="s">
        <v>71</v>
      </c>
      <c r="B9" s="19">
        <v>390</v>
      </c>
    </row>
    <row r="11" spans="1:2" ht="15" customHeight="1" x14ac:dyDescent="0.25">
      <c r="A11" s="2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showGridLines="0" zoomScaleNormal="100" workbookViewId="0">
      <selection activeCell="B10" sqref="B10"/>
    </sheetView>
  </sheetViews>
  <sheetFormatPr baseColWidth="10" defaultColWidth="8.5703125" defaultRowHeight="15" x14ac:dyDescent="0.25"/>
  <cols>
    <col min="1" max="1" width="16" customWidth="1"/>
    <col min="2" max="2" width="22" customWidth="1"/>
    <col min="3" max="3" width="20" customWidth="1"/>
    <col min="4" max="5" width="16" customWidth="1"/>
    <col min="6" max="6" width="16.140625" bestFit="1" customWidth="1"/>
  </cols>
  <sheetData>
    <row r="1" spans="1:6" ht="18" customHeight="1" x14ac:dyDescent="0.3">
      <c r="A1" s="1" t="s">
        <v>9</v>
      </c>
    </row>
    <row r="2" spans="1:6" ht="15" customHeight="1" x14ac:dyDescent="0.25">
      <c r="A2" s="2" t="s">
        <v>73</v>
      </c>
    </row>
    <row r="4" spans="1:6" ht="23.25" customHeigh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41</v>
      </c>
      <c r="F4" s="50" t="s">
        <v>348</v>
      </c>
    </row>
    <row r="5" spans="1:6" ht="15" customHeight="1" x14ac:dyDescent="0.25">
      <c r="A5" s="20" t="s">
        <v>78</v>
      </c>
      <c r="B5" s="21">
        <v>14453256</v>
      </c>
      <c r="C5" s="21">
        <v>14453256</v>
      </c>
      <c r="D5" s="21">
        <v>4189</v>
      </c>
      <c r="E5" s="22" t="s">
        <v>79</v>
      </c>
      <c r="F5" s="21">
        <f>B5/D5</f>
        <v>3450.2878968727618</v>
      </c>
    </row>
    <row r="6" spans="1:6" ht="15" customHeight="1" x14ac:dyDescent="0.25">
      <c r="A6" s="20" t="s">
        <v>347</v>
      </c>
      <c r="B6" s="21">
        <v>41246429</v>
      </c>
      <c r="C6" s="21">
        <v>41246429</v>
      </c>
      <c r="D6" s="21">
        <v>4223</v>
      </c>
      <c r="E6" s="22" t="s">
        <v>79</v>
      </c>
      <c r="F6" s="21">
        <f t="shared" ref="F6:F9" si="0">B6/D6</f>
        <v>9767.0918778119812</v>
      </c>
    </row>
    <row r="7" spans="1:6" ht="15" customHeight="1" x14ac:dyDescent="0.25">
      <c r="A7" s="20" t="s">
        <v>80</v>
      </c>
      <c r="B7" s="21">
        <v>43518360</v>
      </c>
      <c r="C7" s="21">
        <v>43518453</v>
      </c>
      <c r="D7" s="21">
        <v>4166</v>
      </c>
      <c r="E7" s="22" t="s">
        <v>79</v>
      </c>
      <c r="F7" s="21">
        <f t="shared" si="0"/>
        <v>10446.07777244359</v>
      </c>
    </row>
    <row r="8" spans="1:6" ht="15" customHeight="1" x14ac:dyDescent="0.25">
      <c r="A8" s="20" t="s">
        <v>346</v>
      </c>
      <c r="B8" s="21">
        <v>58354399</v>
      </c>
      <c r="C8" s="21">
        <v>58354399</v>
      </c>
      <c r="D8" s="21">
        <v>3861</v>
      </c>
      <c r="E8" s="22" t="s">
        <v>79</v>
      </c>
      <c r="F8" s="21">
        <f t="shared" si="0"/>
        <v>15113.804454804455</v>
      </c>
    </row>
    <row r="9" spans="1:6" ht="15" customHeight="1" x14ac:dyDescent="0.25">
      <c r="A9" s="20" t="s">
        <v>81</v>
      </c>
      <c r="B9" s="21">
        <v>41374814</v>
      </c>
      <c r="C9" s="21">
        <v>41374814</v>
      </c>
      <c r="D9" s="21">
        <v>3668</v>
      </c>
      <c r="E9" s="22" t="s">
        <v>79</v>
      </c>
      <c r="F9" s="21">
        <f t="shared" si="0"/>
        <v>11279.93838604144</v>
      </c>
    </row>
    <row r="10" spans="1:6" ht="15" customHeight="1" x14ac:dyDescent="0.25">
      <c r="A10" s="12" t="s">
        <v>57</v>
      </c>
      <c r="B10" s="23">
        <f>SUM(B6:B9)</f>
        <v>184494002</v>
      </c>
      <c r="C10" s="23">
        <f>SUM(C6:C9)</f>
        <v>184494095</v>
      </c>
      <c r="D10" s="13"/>
      <c r="E10" s="13"/>
      <c r="F10" s="23">
        <f>SUM(F5:F9)</f>
        <v>50057.200387974226</v>
      </c>
    </row>
    <row r="12" spans="1:6" ht="15" customHeight="1" x14ac:dyDescent="0.25">
      <c r="A12" s="6" t="s">
        <v>82</v>
      </c>
      <c r="F12" s="51"/>
    </row>
    <row r="13" spans="1:6" ht="15" customHeight="1" x14ac:dyDescent="0.25">
      <c r="A13" t="s">
        <v>74</v>
      </c>
      <c r="B13" t="s">
        <v>83</v>
      </c>
    </row>
    <row r="14" spans="1:6" ht="15" customHeight="1" x14ac:dyDescent="0.25">
      <c r="A14" s="20" t="s">
        <v>78</v>
      </c>
      <c r="B14" s="21">
        <v>14453256</v>
      </c>
    </row>
    <row r="15" spans="1:6" ht="15" customHeight="1" x14ac:dyDescent="0.25">
      <c r="A15" s="20" t="s">
        <v>347</v>
      </c>
      <c r="B15" s="21">
        <v>41246429</v>
      </c>
    </row>
    <row r="16" spans="1:6" ht="15" customHeight="1" x14ac:dyDescent="0.25">
      <c r="A16" s="20" t="s">
        <v>80</v>
      </c>
      <c r="B16" s="21">
        <v>43518360</v>
      </c>
    </row>
    <row r="17" spans="1:2" x14ac:dyDescent="0.25">
      <c r="A17" s="20" t="s">
        <v>346</v>
      </c>
      <c r="B17" s="21">
        <v>58354399</v>
      </c>
    </row>
    <row r="18" spans="1:2" x14ac:dyDescent="0.25">
      <c r="A18" s="20" t="s">
        <v>81</v>
      </c>
      <c r="B18" s="21">
        <v>41374814</v>
      </c>
    </row>
    <row r="19" spans="1:2" ht="15" customHeight="1" x14ac:dyDescent="0.25">
      <c r="A19" s="2" t="s">
        <v>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showGridLines="0" topLeftCell="A9" zoomScaleNormal="100" workbookViewId="0">
      <selection activeCell="E18" sqref="E18"/>
    </sheetView>
  </sheetViews>
  <sheetFormatPr baseColWidth="10" defaultColWidth="8.5703125" defaultRowHeight="15" x14ac:dyDescent="0.25"/>
  <cols>
    <col min="1" max="1" width="32" customWidth="1"/>
    <col min="2" max="2" width="46.5703125" customWidth="1"/>
  </cols>
  <sheetData>
    <row r="1" spans="1:2" ht="18" customHeight="1" x14ac:dyDescent="0.3">
      <c r="A1" s="1" t="s">
        <v>85</v>
      </c>
    </row>
    <row r="2" spans="1:2" ht="15" customHeight="1" x14ac:dyDescent="0.25">
      <c r="A2" s="2" t="s">
        <v>86</v>
      </c>
    </row>
    <row r="4" spans="1:2" ht="38.25" customHeight="1" x14ac:dyDescent="0.25">
      <c r="A4" s="3" t="s">
        <v>87</v>
      </c>
      <c r="B4" s="3" t="s">
        <v>88</v>
      </c>
    </row>
    <row r="5" spans="1:2" ht="38.25" customHeight="1" x14ac:dyDescent="0.25">
      <c r="A5" s="25" t="s">
        <v>19</v>
      </c>
      <c r="B5" s="4" t="s">
        <v>89</v>
      </c>
    </row>
    <row r="6" spans="1:2" ht="38.25" customHeight="1" x14ac:dyDescent="0.25">
      <c r="A6" s="25" t="s">
        <v>90</v>
      </c>
      <c r="B6" s="4" t="s">
        <v>91</v>
      </c>
    </row>
    <row r="7" spans="1:2" ht="38.25" customHeight="1" x14ac:dyDescent="0.25">
      <c r="A7" s="25" t="s">
        <v>92</v>
      </c>
      <c r="B7" s="4" t="s">
        <v>93</v>
      </c>
    </row>
    <row r="8" spans="1:2" ht="38.25" customHeight="1" x14ac:dyDescent="0.25">
      <c r="A8" s="25" t="s">
        <v>94</v>
      </c>
      <c r="B8" s="4" t="s">
        <v>95</v>
      </c>
    </row>
    <row r="9" spans="1:2" ht="38.25" customHeight="1" x14ac:dyDescent="0.25">
      <c r="A9" s="25" t="s">
        <v>96</v>
      </c>
      <c r="B9" s="4" t="s">
        <v>97</v>
      </c>
    </row>
    <row r="10" spans="1:2" ht="38.25" customHeight="1" x14ac:dyDescent="0.25">
      <c r="A10" s="25" t="s">
        <v>98</v>
      </c>
      <c r="B10" s="4" t="s">
        <v>99</v>
      </c>
    </row>
    <row r="11" spans="1:2" ht="38.25" customHeight="1" x14ac:dyDescent="0.25">
      <c r="A11" s="25" t="s">
        <v>100</v>
      </c>
      <c r="B11" s="4" t="s">
        <v>101</v>
      </c>
    </row>
    <row r="14" spans="1:2" ht="15" customHeight="1" x14ac:dyDescent="0.25">
      <c r="A14" s="6" t="s">
        <v>102</v>
      </c>
    </row>
    <row r="15" spans="1:2" ht="15" customHeight="1" x14ac:dyDescent="0.25">
      <c r="A15" s="3" t="s">
        <v>103</v>
      </c>
      <c r="B15" s="3" t="s">
        <v>64</v>
      </c>
    </row>
    <row r="16" spans="1:2" ht="15" customHeight="1" x14ac:dyDescent="0.25">
      <c r="A16" s="17" t="s">
        <v>104</v>
      </c>
      <c r="B16" s="18" t="s">
        <v>105</v>
      </c>
    </row>
    <row r="17" spans="1:2" ht="15" customHeight="1" x14ac:dyDescent="0.25">
      <c r="A17" s="17" t="s">
        <v>106</v>
      </c>
      <c r="B17" s="18" t="s">
        <v>107</v>
      </c>
    </row>
    <row r="18" spans="1:2" ht="15" customHeight="1" x14ac:dyDescent="0.25">
      <c r="A18" s="17" t="s">
        <v>92</v>
      </c>
      <c r="B18" s="18" t="s">
        <v>93</v>
      </c>
    </row>
    <row r="19" spans="1:2" ht="15" customHeight="1" x14ac:dyDescent="0.25">
      <c r="A19" s="17" t="s">
        <v>108</v>
      </c>
      <c r="B19" s="26" t="s">
        <v>109</v>
      </c>
    </row>
    <row r="20" spans="1:2" ht="15" customHeight="1" x14ac:dyDescent="0.25">
      <c r="A20" s="17" t="s">
        <v>110</v>
      </c>
      <c r="B20" s="18" t="s">
        <v>111</v>
      </c>
    </row>
    <row r="23" spans="1:2" ht="15" customHeight="1" x14ac:dyDescent="0.25">
      <c r="A23" s="6" t="s">
        <v>112</v>
      </c>
    </row>
    <row r="24" spans="1:2" ht="15" customHeight="1" x14ac:dyDescent="0.25">
      <c r="A24" t="s">
        <v>27</v>
      </c>
      <c r="B24" t="s">
        <v>20</v>
      </c>
    </row>
    <row r="25" spans="1:2" ht="15" customHeight="1" x14ac:dyDescent="0.25">
      <c r="A25" t="s">
        <v>113</v>
      </c>
      <c r="B25" s="8">
        <v>38472</v>
      </c>
    </row>
    <row r="26" spans="1:2" ht="15" customHeight="1" x14ac:dyDescent="0.25">
      <c r="A26" t="s">
        <v>114</v>
      </c>
      <c r="B26" s="8">
        <v>161528</v>
      </c>
    </row>
    <row r="28" spans="1:2" ht="15" customHeight="1" x14ac:dyDescent="0.25">
      <c r="A28" s="2" t="s">
        <v>115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zoomScaleNormal="100" workbookViewId="0">
      <selection activeCell="C27" sqref="C27"/>
    </sheetView>
  </sheetViews>
  <sheetFormatPr baseColWidth="10" defaultColWidth="8.5703125" defaultRowHeight="15" x14ac:dyDescent="0.25"/>
  <cols>
    <col min="1" max="1" width="30" customWidth="1"/>
    <col min="2" max="2" width="18" customWidth="1"/>
    <col min="3" max="3" width="45" customWidth="1"/>
  </cols>
  <sheetData>
    <row r="1" spans="1:3" ht="18" customHeight="1" x14ac:dyDescent="0.3">
      <c r="A1" s="1" t="s">
        <v>116</v>
      </c>
    </row>
    <row r="2" spans="1:3" ht="15" customHeight="1" x14ac:dyDescent="0.25">
      <c r="A2" s="2" t="s">
        <v>117</v>
      </c>
    </row>
    <row r="4" spans="1:3" ht="15" customHeight="1" x14ac:dyDescent="0.25">
      <c r="A4" s="3" t="s">
        <v>27</v>
      </c>
      <c r="B4" s="3" t="s">
        <v>20</v>
      </c>
      <c r="C4" s="3" t="s">
        <v>118</v>
      </c>
    </row>
    <row r="5" spans="1:3" ht="15" customHeight="1" x14ac:dyDescent="0.25">
      <c r="A5" s="17" t="s">
        <v>119</v>
      </c>
      <c r="B5" s="27">
        <v>2200</v>
      </c>
      <c r="C5" s="28" t="s">
        <v>120</v>
      </c>
    </row>
    <row r="6" spans="1:3" ht="15" customHeight="1" x14ac:dyDescent="0.25">
      <c r="A6" s="17" t="s">
        <v>121</v>
      </c>
      <c r="B6" s="27">
        <v>1472.54</v>
      </c>
      <c r="C6" s="28" t="s">
        <v>122</v>
      </c>
    </row>
    <row r="7" spans="1:3" ht="15" customHeight="1" x14ac:dyDescent="0.25">
      <c r="A7" s="17" t="s">
        <v>123</v>
      </c>
      <c r="B7" s="27">
        <v>49.5</v>
      </c>
      <c r="C7" s="28" t="s">
        <v>124</v>
      </c>
    </row>
    <row r="8" spans="1:3" ht="15" customHeight="1" x14ac:dyDescent="0.25">
      <c r="A8" s="17" t="s">
        <v>125</v>
      </c>
      <c r="B8" s="27">
        <v>16.510000000000002</v>
      </c>
      <c r="C8" s="28" t="s">
        <v>126</v>
      </c>
    </row>
    <row r="9" spans="1:3" ht="15" customHeight="1" x14ac:dyDescent="0.25">
      <c r="A9" s="17" t="s">
        <v>127</v>
      </c>
      <c r="B9" s="27">
        <v>661.45</v>
      </c>
      <c r="C9" s="28" t="s">
        <v>128</v>
      </c>
    </row>
    <row r="10" spans="1:3" ht="15" customHeight="1" x14ac:dyDescent="0.25">
      <c r="A10" s="17" t="s">
        <v>129</v>
      </c>
      <c r="B10" s="27">
        <v>622.04999999999995</v>
      </c>
      <c r="C10" s="28" t="s">
        <v>130</v>
      </c>
    </row>
    <row r="11" spans="1:3" ht="15" customHeight="1" x14ac:dyDescent="0.25">
      <c r="A11" s="17" t="s">
        <v>131</v>
      </c>
      <c r="B11" s="27">
        <v>39.4</v>
      </c>
      <c r="C11" s="28" t="s">
        <v>132</v>
      </c>
    </row>
    <row r="13" spans="1:3" ht="15" customHeight="1" x14ac:dyDescent="0.25">
      <c r="A13" s="6" t="s">
        <v>133</v>
      </c>
    </row>
    <row r="14" spans="1:3" ht="15" customHeight="1" x14ac:dyDescent="0.25">
      <c r="A14" t="s">
        <v>134</v>
      </c>
      <c r="B14" t="s">
        <v>135</v>
      </c>
    </row>
    <row r="15" spans="1:3" ht="15" customHeight="1" x14ac:dyDescent="0.25">
      <c r="A15" t="s">
        <v>136</v>
      </c>
      <c r="B15" s="8">
        <v>2386800</v>
      </c>
      <c r="C15" s="8">
        <f>B15+B16</f>
        <v>6395600</v>
      </c>
    </row>
    <row r="16" spans="1:3" ht="15" customHeight="1" x14ac:dyDescent="0.25">
      <c r="A16" t="s">
        <v>137</v>
      </c>
      <c r="B16" s="8">
        <v>4008800</v>
      </c>
    </row>
    <row r="17" spans="1:2" ht="15" customHeight="1" x14ac:dyDescent="0.25">
      <c r="A17" s="29" t="s">
        <v>138</v>
      </c>
      <c r="B17" s="30">
        <v>0.67957097368862096</v>
      </c>
    </row>
    <row r="19" spans="1:2" ht="15" customHeight="1" x14ac:dyDescent="0.25">
      <c r="A19" s="2" t="s">
        <v>139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0"/>
  <sheetViews>
    <sheetView showGridLines="0" zoomScaleNormal="100" workbookViewId="0">
      <selection activeCell="K37" sqref="K37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3" width="16" customWidth="1"/>
    <col min="4" max="4" width="46" customWidth="1"/>
    <col min="5" max="5" width="22" customWidth="1"/>
    <col min="6" max="6" width="16.42578125" bestFit="1" customWidth="1"/>
    <col min="7" max="7" width="10" customWidth="1"/>
    <col min="8" max="8" width="24.5703125" bestFit="1" customWidth="1"/>
    <col min="10" max="10" width="11.28515625" bestFit="1" customWidth="1"/>
    <col min="11" max="11" width="16.42578125" bestFit="1" customWidth="1"/>
  </cols>
  <sheetData>
    <row r="1" spans="1:3" ht="18" customHeight="1" x14ac:dyDescent="0.3">
      <c r="A1" s="1" t="s">
        <v>140</v>
      </c>
    </row>
    <row r="2" spans="1:3" ht="15" customHeight="1" x14ac:dyDescent="0.25">
      <c r="A2" s="2" t="s">
        <v>141</v>
      </c>
    </row>
    <row r="4" spans="1:3" ht="15" customHeight="1" x14ac:dyDescent="0.25">
      <c r="A4" s="3" t="s">
        <v>134</v>
      </c>
      <c r="B4" s="3" t="s">
        <v>142</v>
      </c>
      <c r="C4" s="3" t="s">
        <v>143</v>
      </c>
    </row>
    <row r="5" spans="1:3" ht="15" customHeight="1" x14ac:dyDescent="0.25">
      <c r="A5" s="17" t="s">
        <v>144</v>
      </c>
      <c r="B5" s="31">
        <v>19962.95</v>
      </c>
      <c r="C5" s="32"/>
    </row>
    <row r="6" spans="1:3" ht="15" customHeight="1" x14ac:dyDescent="0.25">
      <c r="A6" s="17" t="s">
        <v>145</v>
      </c>
      <c r="B6" s="31">
        <v>58529.23</v>
      </c>
      <c r="C6" s="33">
        <v>1.9318930000000001</v>
      </c>
    </row>
    <row r="7" spans="1:3" ht="15" customHeight="1" x14ac:dyDescent="0.25">
      <c r="A7" s="17" t="s">
        <v>136</v>
      </c>
      <c r="B7" s="31">
        <v>68165.62</v>
      </c>
      <c r="C7" s="33">
        <v>0.16464200000000001</v>
      </c>
    </row>
    <row r="8" spans="1:3" ht="15" customHeight="1" x14ac:dyDescent="0.25">
      <c r="A8" s="17" t="s">
        <v>146</v>
      </c>
      <c r="B8" s="31">
        <v>82535.600000000006</v>
      </c>
      <c r="C8" s="33">
        <v>0.21081</v>
      </c>
    </row>
    <row r="11" spans="1:3" ht="15" customHeight="1" x14ac:dyDescent="0.25">
      <c r="A11" s="6" t="s">
        <v>147</v>
      </c>
    </row>
    <row r="12" spans="1:3" ht="15" customHeight="1" x14ac:dyDescent="0.25">
      <c r="A12" s="3" t="s">
        <v>19</v>
      </c>
      <c r="B12" s="3" t="s">
        <v>20</v>
      </c>
      <c r="C12" s="3" t="s">
        <v>28</v>
      </c>
    </row>
    <row r="13" spans="1:3" ht="15" customHeight="1" x14ac:dyDescent="0.25">
      <c r="A13" s="9" t="s">
        <v>148</v>
      </c>
      <c r="B13" s="34">
        <v>2000</v>
      </c>
      <c r="C13" s="21">
        <v>7102340</v>
      </c>
    </row>
    <row r="14" spans="1:3" ht="15" customHeight="1" x14ac:dyDescent="0.25">
      <c r="A14" s="9" t="s">
        <v>149</v>
      </c>
      <c r="B14" s="34">
        <v>16987.07</v>
      </c>
      <c r="C14" s="21">
        <v>61524789</v>
      </c>
    </row>
    <row r="15" spans="1:3" ht="15" customHeight="1" x14ac:dyDescent="0.25">
      <c r="A15" s="9" t="s">
        <v>150</v>
      </c>
      <c r="B15" s="34">
        <v>1646.83</v>
      </c>
      <c r="C15" s="21">
        <v>5848137</v>
      </c>
    </row>
    <row r="16" spans="1:3" ht="15" customHeight="1" x14ac:dyDescent="0.25">
      <c r="A16" s="12" t="s">
        <v>57</v>
      </c>
      <c r="B16" s="35">
        <f>SUM(B13:B15)</f>
        <v>20633.900000000001</v>
      </c>
      <c r="C16" s="23">
        <f>SUM(C13:C15)</f>
        <v>74475266</v>
      </c>
    </row>
    <row r="18" spans="1:11" ht="15" customHeight="1" x14ac:dyDescent="0.25">
      <c r="A18" s="2" t="s">
        <v>151</v>
      </c>
    </row>
    <row r="21" spans="1:11" ht="15" customHeight="1" x14ac:dyDescent="0.25">
      <c r="A21" s="6" t="s">
        <v>152</v>
      </c>
    </row>
    <row r="22" spans="1:11" ht="15" customHeight="1" x14ac:dyDescent="0.25">
      <c r="A22" s="5" t="s">
        <v>153</v>
      </c>
    </row>
    <row r="24" spans="1:11" ht="15" customHeight="1" x14ac:dyDescent="0.25">
      <c r="A24" s="36" t="s">
        <v>154</v>
      </c>
      <c r="B24" s="36" t="s">
        <v>155</v>
      </c>
      <c r="C24" s="36" t="s">
        <v>156</v>
      </c>
      <c r="D24" s="36" t="s">
        <v>19</v>
      </c>
      <c r="E24" s="36" t="s">
        <v>157</v>
      </c>
      <c r="F24" s="36" t="s">
        <v>158</v>
      </c>
      <c r="G24" s="36" t="s">
        <v>41</v>
      </c>
      <c r="H24" s="36" t="s">
        <v>159</v>
      </c>
      <c r="J24">
        <v>2026</v>
      </c>
      <c r="K24" s="7">
        <f>F25+F26+F27</f>
        <v>20633.900000000001</v>
      </c>
    </row>
    <row r="25" spans="1:11" ht="15" customHeight="1" x14ac:dyDescent="0.25">
      <c r="A25" s="37" t="s">
        <v>160</v>
      </c>
      <c r="B25" s="37" t="s">
        <v>161</v>
      </c>
      <c r="C25" s="37" t="s">
        <v>162</v>
      </c>
      <c r="D25" s="37" t="s">
        <v>149</v>
      </c>
      <c r="E25" s="37" t="s">
        <v>163</v>
      </c>
      <c r="F25" s="38">
        <v>16987.07</v>
      </c>
      <c r="G25" s="37" t="s">
        <v>164</v>
      </c>
      <c r="H25" s="37" t="s">
        <v>165</v>
      </c>
      <c r="J25">
        <v>2025</v>
      </c>
      <c r="K25" s="7">
        <f>F28+F29+F30+F31+F32+F33+F34+F35+F36+F37+F38+F39+F40+F41</f>
        <v>68165.62</v>
      </c>
    </row>
    <row r="26" spans="1:11" ht="15" customHeight="1" x14ac:dyDescent="0.25">
      <c r="A26" s="37" t="s">
        <v>160</v>
      </c>
      <c r="B26" s="37" t="s">
        <v>161</v>
      </c>
      <c r="C26" s="37" t="s">
        <v>162</v>
      </c>
      <c r="D26" s="37" t="s">
        <v>148</v>
      </c>
      <c r="E26" s="37" t="s">
        <v>166</v>
      </c>
      <c r="F26" s="38">
        <v>2000</v>
      </c>
      <c r="G26" s="37" t="s">
        <v>164</v>
      </c>
      <c r="H26" s="37" t="s">
        <v>167</v>
      </c>
      <c r="J26" s="37" t="s">
        <v>349</v>
      </c>
      <c r="K26" s="7">
        <f>+K24+K25</f>
        <v>88799.51999999999</v>
      </c>
    </row>
    <row r="27" spans="1:11" ht="15" customHeight="1" x14ac:dyDescent="0.25">
      <c r="A27" s="37" t="s">
        <v>160</v>
      </c>
      <c r="B27" s="37" t="s">
        <v>161</v>
      </c>
      <c r="C27" s="37" t="s">
        <v>162</v>
      </c>
      <c r="D27" s="37" t="s">
        <v>150</v>
      </c>
      <c r="E27" s="37" t="s">
        <v>168</v>
      </c>
      <c r="F27" s="38">
        <v>1646.83</v>
      </c>
      <c r="G27" s="37" t="s">
        <v>164</v>
      </c>
      <c r="H27" s="37" t="s">
        <v>169</v>
      </c>
      <c r="K27" s="49">
        <f>K26*3600</f>
        <v>319678271.99999994</v>
      </c>
    </row>
    <row r="28" spans="1:11" ht="15" customHeight="1" x14ac:dyDescent="0.25">
      <c r="A28" s="37" t="s">
        <v>170</v>
      </c>
      <c r="B28" s="37" t="s">
        <v>171</v>
      </c>
      <c r="C28" s="37" t="s">
        <v>172</v>
      </c>
      <c r="D28" s="37" t="s">
        <v>173</v>
      </c>
      <c r="E28" s="37" t="s">
        <v>163</v>
      </c>
      <c r="F28" s="38">
        <v>18423.11</v>
      </c>
      <c r="G28" s="37" t="s">
        <v>164</v>
      </c>
      <c r="H28" s="37" t="s">
        <v>174</v>
      </c>
    </row>
    <row r="29" spans="1:11" ht="15" customHeight="1" x14ac:dyDescent="0.25">
      <c r="A29" s="37" t="s">
        <v>170</v>
      </c>
      <c r="B29" s="37" t="s">
        <v>171</v>
      </c>
      <c r="C29" s="37" t="s">
        <v>172</v>
      </c>
      <c r="D29" s="37" t="s">
        <v>175</v>
      </c>
      <c r="E29" s="37" t="s">
        <v>166</v>
      </c>
      <c r="F29" s="38">
        <v>2000</v>
      </c>
      <c r="G29" s="37" t="s">
        <v>164</v>
      </c>
      <c r="H29" s="37" t="s">
        <v>176</v>
      </c>
    </row>
    <row r="30" spans="1:11" ht="15" customHeight="1" x14ac:dyDescent="0.25">
      <c r="A30" s="37" t="s">
        <v>170</v>
      </c>
      <c r="B30" s="37" t="s">
        <v>171</v>
      </c>
      <c r="C30" s="37" t="s">
        <v>172</v>
      </c>
      <c r="D30" s="37" t="s">
        <v>177</v>
      </c>
      <c r="E30" s="37" t="s">
        <v>168</v>
      </c>
      <c r="F30" s="38">
        <v>644.47</v>
      </c>
      <c r="G30" s="37" t="s">
        <v>164</v>
      </c>
      <c r="H30" s="37" t="s">
        <v>178</v>
      </c>
    </row>
    <row r="31" spans="1:11" ht="15" customHeight="1" x14ac:dyDescent="0.25">
      <c r="A31" s="37" t="s">
        <v>179</v>
      </c>
      <c r="B31" s="37" t="s">
        <v>180</v>
      </c>
      <c r="C31" s="37" t="s">
        <v>181</v>
      </c>
      <c r="D31" s="37" t="s">
        <v>182</v>
      </c>
      <c r="E31" s="37" t="s">
        <v>163</v>
      </c>
      <c r="F31" s="38">
        <v>9654.0400000000009</v>
      </c>
      <c r="G31" s="37" t="s">
        <v>164</v>
      </c>
      <c r="H31" s="37" t="s">
        <v>183</v>
      </c>
    </row>
    <row r="32" spans="1:11" ht="15" customHeight="1" x14ac:dyDescent="0.25">
      <c r="A32" s="37" t="s">
        <v>179</v>
      </c>
      <c r="B32" s="37" t="s">
        <v>180</v>
      </c>
      <c r="C32" s="37" t="s">
        <v>181</v>
      </c>
      <c r="D32" s="37" t="s">
        <v>184</v>
      </c>
      <c r="E32" s="37" t="s">
        <v>166</v>
      </c>
      <c r="F32" s="38">
        <v>2000</v>
      </c>
      <c r="G32" s="37" t="s">
        <v>164</v>
      </c>
      <c r="H32" s="37" t="s">
        <v>185</v>
      </c>
    </row>
    <row r="33" spans="1:8" ht="15" customHeight="1" x14ac:dyDescent="0.25">
      <c r="A33" s="37" t="s">
        <v>179</v>
      </c>
      <c r="B33" s="37" t="s">
        <v>180</v>
      </c>
      <c r="C33" s="37" t="s">
        <v>181</v>
      </c>
      <c r="D33" s="37" t="s">
        <v>186</v>
      </c>
      <c r="E33" s="37" t="s">
        <v>187</v>
      </c>
      <c r="F33" s="38">
        <v>1906.69</v>
      </c>
      <c r="G33" s="37" t="s">
        <v>164</v>
      </c>
      <c r="H33" s="37" t="s">
        <v>188</v>
      </c>
    </row>
    <row r="34" spans="1:8" ht="15" customHeight="1" x14ac:dyDescent="0.25">
      <c r="A34" s="37" t="s">
        <v>179</v>
      </c>
      <c r="B34" s="37" t="s">
        <v>180</v>
      </c>
      <c r="C34" s="37" t="s">
        <v>181</v>
      </c>
      <c r="D34" s="37" t="s">
        <v>189</v>
      </c>
      <c r="E34" s="37" t="s">
        <v>168</v>
      </c>
      <c r="F34" s="38">
        <v>1774.24</v>
      </c>
      <c r="G34" s="37" t="s">
        <v>164</v>
      </c>
      <c r="H34" s="37" t="s">
        <v>190</v>
      </c>
    </row>
    <row r="35" spans="1:8" ht="15" customHeight="1" x14ac:dyDescent="0.25">
      <c r="A35" s="37" t="s">
        <v>191</v>
      </c>
      <c r="B35" s="37" t="s">
        <v>192</v>
      </c>
      <c r="C35" s="37" t="s">
        <v>193</v>
      </c>
      <c r="D35" s="37" t="s">
        <v>194</v>
      </c>
      <c r="E35" s="37" t="s">
        <v>163</v>
      </c>
      <c r="F35" s="38">
        <v>8793.44</v>
      </c>
      <c r="G35" s="37" t="s">
        <v>164</v>
      </c>
      <c r="H35" s="37" t="s">
        <v>195</v>
      </c>
    </row>
    <row r="36" spans="1:8" ht="15" customHeight="1" x14ac:dyDescent="0.25">
      <c r="A36" s="37" t="s">
        <v>191</v>
      </c>
      <c r="B36" s="37" t="s">
        <v>192</v>
      </c>
      <c r="C36" s="37" t="s">
        <v>193</v>
      </c>
      <c r="D36" s="37" t="s">
        <v>196</v>
      </c>
      <c r="E36" s="37" t="s">
        <v>166</v>
      </c>
      <c r="F36" s="38">
        <v>2000</v>
      </c>
      <c r="G36" s="37" t="s">
        <v>164</v>
      </c>
      <c r="H36" s="37" t="s">
        <v>197</v>
      </c>
    </row>
    <row r="37" spans="1:8" ht="15" customHeight="1" x14ac:dyDescent="0.25">
      <c r="A37" s="37" t="s">
        <v>191</v>
      </c>
      <c r="B37" s="37" t="s">
        <v>192</v>
      </c>
      <c r="C37" s="37" t="s">
        <v>193</v>
      </c>
      <c r="D37" s="37" t="s">
        <v>198</v>
      </c>
      <c r="E37" s="37" t="s">
        <v>168</v>
      </c>
      <c r="F37" s="38">
        <v>1271.5</v>
      </c>
      <c r="G37" s="37" t="s">
        <v>164</v>
      </c>
      <c r="H37" s="37" t="s">
        <v>199</v>
      </c>
    </row>
    <row r="38" spans="1:8" ht="15" customHeight="1" x14ac:dyDescent="0.25">
      <c r="A38" s="37" t="s">
        <v>200</v>
      </c>
      <c r="B38" s="37" t="s">
        <v>201</v>
      </c>
      <c r="C38" s="37" t="s">
        <v>162</v>
      </c>
      <c r="D38" s="37" t="s">
        <v>202</v>
      </c>
      <c r="E38" s="37" t="s">
        <v>163</v>
      </c>
      <c r="F38" s="38">
        <v>14327.5</v>
      </c>
      <c r="G38" s="37" t="s">
        <v>164</v>
      </c>
      <c r="H38" s="37" t="s">
        <v>203</v>
      </c>
    </row>
    <row r="39" spans="1:8" ht="15" customHeight="1" x14ac:dyDescent="0.25">
      <c r="A39" s="37" t="s">
        <v>200</v>
      </c>
      <c r="B39" s="37" t="s">
        <v>201</v>
      </c>
      <c r="C39" s="37" t="s">
        <v>162</v>
      </c>
      <c r="D39" s="37" t="s">
        <v>204</v>
      </c>
      <c r="E39" s="37" t="s">
        <v>187</v>
      </c>
      <c r="F39" s="38">
        <v>2802.29</v>
      </c>
      <c r="G39" s="37" t="s">
        <v>164</v>
      </c>
      <c r="H39" s="37" t="s">
        <v>205</v>
      </c>
    </row>
    <row r="40" spans="1:8" ht="15" customHeight="1" x14ac:dyDescent="0.25">
      <c r="A40" s="37" t="s">
        <v>200</v>
      </c>
      <c r="B40" s="37" t="s">
        <v>201</v>
      </c>
      <c r="C40" s="37" t="s">
        <v>162</v>
      </c>
      <c r="D40" s="37" t="s">
        <v>206</v>
      </c>
      <c r="E40" s="37" t="s">
        <v>166</v>
      </c>
      <c r="F40" s="38">
        <v>2000</v>
      </c>
      <c r="G40" s="37" t="s">
        <v>164</v>
      </c>
      <c r="H40" s="37" t="s">
        <v>207</v>
      </c>
    </row>
    <row r="41" spans="1:8" ht="15" customHeight="1" x14ac:dyDescent="0.25">
      <c r="A41" s="37" t="s">
        <v>200</v>
      </c>
      <c r="B41" s="37" t="s">
        <v>201</v>
      </c>
      <c r="C41" s="37" t="s">
        <v>162</v>
      </c>
      <c r="D41" s="37" t="s">
        <v>208</v>
      </c>
      <c r="E41" s="37" t="s">
        <v>168</v>
      </c>
      <c r="F41" s="38">
        <v>568.34</v>
      </c>
      <c r="G41" s="37" t="s">
        <v>164</v>
      </c>
      <c r="H41" s="37" t="s">
        <v>209</v>
      </c>
    </row>
    <row r="42" spans="1:8" ht="15" customHeight="1" x14ac:dyDescent="0.25">
      <c r="A42" s="37" t="s">
        <v>210</v>
      </c>
      <c r="B42" s="37" t="s">
        <v>211</v>
      </c>
      <c r="C42" s="37" t="s">
        <v>172</v>
      </c>
      <c r="D42" s="37" t="s">
        <v>212</v>
      </c>
      <c r="E42" s="37" t="s">
        <v>163</v>
      </c>
      <c r="F42" s="38">
        <v>12349.64</v>
      </c>
      <c r="G42" s="37" t="s">
        <v>164</v>
      </c>
      <c r="H42" s="37" t="s">
        <v>213</v>
      </c>
    </row>
    <row r="43" spans="1:8" ht="15" customHeight="1" x14ac:dyDescent="0.25">
      <c r="A43" s="37" t="s">
        <v>210</v>
      </c>
      <c r="B43" s="37" t="s">
        <v>211</v>
      </c>
      <c r="C43" s="37" t="s">
        <v>172</v>
      </c>
      <c r="D43" s="37" t="s">
        <v>214</v>
      </c>
      <c r="E43" s="37" t="s">
        <v>187</v>
      </c>
      <c r="F43" s="38">
        <v>2384.21</v>
      </c>
      <c r="G43" s="37" t="s">
        <v>164</v>
      </c>
      <c r="H43" s="37" t="s">
        <v>215</v>
      </c>
    </row>
    <row r="44" spans="1:8" ht="15" customHeight="1" x14ac:dyDescent="0.25">
      <c r="A44" s="37" t="s">
        <v>210</v>
      </c>
      <c r="B44" s="37" t="s">
        <v>211</v>
      </c>
      <c r="C44" s="37" t="s">
        <v>172</v>
      </c>
      <c r="D44" s="37" t="s">
        <v>216</v>
      </c>
      <c r="E44" s="37" t="s">
        <v>166</v>
      </c>
      <c r="F44" s="38">
        <v>2000</v>
      </c>
      <c r="G44" s="37" t="s">
        <v>164</v>
      </c>
      <c r="H44" s="37" t="s">
        <v>217</v>
      </c>
    </row>
    <row r="45" spans="1:8" ht="15" customHeight="1" x14ac:dyDescent="0.25">
      <c r="A45" s="37" t="s">
        <v>210</v>
      </c>
      <c r="B45" s="37" t="s">
        <v>211</v>
      </c>
      <c r="C45" s="37" t="s">
        <v>172</v>
      </c>
      <c r="D45" s="37" t="s">
        <v>218</v>
      </c>
      <c r="E45" s="37" t="s">
        <v>168</v>
      </c>
      <c r="F45" s="38">
        <v>883.3</v>
      </c>
      <c r="G45" s="37" t="s">
        <v>164</v>
      </c>
      <c r="H45" s="37" t="s">
        <v>219</v>
      </c>
    </row>
    <row r="46" spans="1:8" ht="15" customHeight="1" x14ac:dyDescent="0.25">
      <c r="A46" s="37" t="s">
        <v>220</v>
      </c>
      <c r="B46" s="37" t="s">
        <v>221</v>
      </c>
      <c r="C46" s="37" t="s">
        <v>181</v>
      </c>
      <c r="D46" s="37" t="s">
        <v>222</v>
      </c>
      <c r="E46" s="37" t="s">
        <v>163</v>
      </c>
      <c r="F46" s="38">
        <v>11925.13</v>
      </c>
      <c r="G46" s="37" t="s">
        <v>164</v>
      </c>
      <c r="H46" s="37" t="s">
        <v>223</v>
      </c>
    </row>
    <row r="47" spans="1:8" ht="15" customHeight="1" x14ac:dyDescent="0.25">
      <c r="A47" s="37" t="s">
        <v>220</v>
      </c>
      <c r="B47" s="37" t="s">
        <v>221</v>
      </c>
      <c r="C47" s="37" t="s">
        <v>181</v>
      </c>
      <c r="D47" s="37" t="s">
        <v>224</v>
      </c>
      <c r="E47" s="37" t="s">
        <v>168</v>
      </c>
      <c r="F47" s="38">
        <v>692.26</v>
      </c>
      <c r="G47" s="37" t="s">
        <v>164</v>
      </c>
      <c r="H47" s="37" t="s">
        <v>225</v>
      </c>
    </row>
    <row r="48" spans="1:8" ht="15" customHeight="1" x14ac:dyDescent="0.25">
      <c r="A48" s="37" t="s">
        <v>226</v>
      </c>
      <c r="B48" s="37" t="s">
        <v>227</v>
      </c>
      <c r="C48" s="37" t="s">
        <v>193</v>
      </c>
      <c r="D48" s="37" t="s">
        <v>228</v>
      </c>
      <c r="E48" s="37" t="s">
        <v>163</v>
      </c>
      <c r="F48" s="38">
        <v>17972.96</v>
      </c>
      <c r="G48" s="37" t="s">
        <v>164</v>
      </c>
      <c r="H48" s="37" t="s">
        <v>229</v>
      </c>
    </row>
    <row r="49" spans="1:8" ht="15" customHeight="1" x14ac:dyDescent="0.25">
      <c r="A49" s="37" t="s">
        <v>226</v>
      </c>
      <c r="B49" s="37" t="s">
        <v>227</v>
      </c>
      <c r="C49" s="37" t="s">
        <v>193</v>
      </c>
      <c r="D49" s="37" t="s">
        <v>230</v>
      </c>
      <c r="E49" s="37" t="s">
        <v>231</v>
      </c>
      <c r="F49" s="38">
        <v>591.11</v>
      </c>
      <c r="G49" s="37" t="s">
        <v>164</v>
      </c>
      <c r="H49" s="37" t="s">
        <v>232</v>
      </c>
    </row>
    <row r="50" spans="1:8" ht="15" customHeight="1" x14ac:dyDescent="0.25">
      <c r="A50" s="37" t="s">
        <v>233</v>
      </c>
      <c r="B50" s="37" t="s">
        <v>234</v>
      </c>
      <c r="C50" s="37" t="s">
        <v>162</v>
      </c>
      <c r="D50" s="37" t="s">
        <v>235</v>
      </c>
      <c r="E50" s="37" t="s">
        <v>236</v>
      </c>
      <c r="F50" s="38">
        <v>9540.36</v>
      </c>
      <c r="G50" s="37" t="s">
        <v>164</v>
      </c>
      <c r="H50" s="37" t="s">
        <v>237</v>
      </c>
    </row>
    <row r="51" spans="1:8" ht="15" customHeight="1" x14ac:dyDescent="0.25">
      <c r="A51" s="37" t="s">
        <v>233</v>
      </c>
      <c r="B51" s="37" t="s">
        <v>234</v>
      </c>
      <c r="C51" s="37" t="s">
        <v>162</v>
      </c>
      <c r="D51" s="37" t="s">
        <v>238</v>
      </c>
      <c r="E51" s="37" t="s">
        <v>231</v>
      </c>
      <c r="F51" s="38">
        <v>190.26</v>
      </c>
      <c r="G51" s="37" t="s">
        <v>164</v>
      </c>
      <c r="H51" s="37" t="s">
        <v>239</v>
      </c>
    </row>
    <row r="52" spans="1:8" ht="15" customHeight="1" x14ac:dyDescent="0.25">
      <c r="A52" s="37" t="s">
        <v>240</v>
      </c>
      <c r="B52" s="37" t="s">
        <v>241</v>
      </c>
      <c r="C52" s="37" t="s">
        <v>172</v>
      </c>
      <c r="D52" s="37" t="s">
        <v>242</v>
      </c>
      <c r="E52" s="37" t="s">
        <v>236</v>
      </c>
      <c r="F52" s="38">
        <v>5636.12</v>
      </c>
      <c r="G52" s="37" t="s">
        <v>164</v>
      </c>
      <c r="H52" s="37" t="s">
        <v>243</v>
      </c>
    </row>
    <row r="53" spans="1:8" ht="15" customHeight="1" x14ac:dyDescent="0.25">
      <c r="A53" s="37" t="s">
        <v>240</v>
      </c>
      <c r="B53" s="37" t="s">
        <v>241</v>
      </c>
      <c r="C53" s="37" t="s">
        <v>172</v>
      </c>
      <c r="D53" s="37" t="s">
        <v>244</v>
      </c>
      <c r="E53" s="37" t="s">
        <v>231</v>
      </c>
      <c r="F53" s="38">
        <v>35.78</v>
      </c>
      <c r="G53" s="37" t="s">
        <v>164</v>
      </c>
      <c r="H53" s="37" t="s">
        <v>245</v>
      </c>
    </row>
    <row r="54" spans="1:8" ht="15" customHeight="1" x14ac:dyDescent="0.25">
      <c r="A54" s="37" t="s">
        <v>246</v>
      </c>
      <c r="B54" s="37" t="s">
        <v>247</v>
      </c>
      <c r="C54" s="37" t="s">
        <v>181</v>
      </c>
      <c r="D54" s="37" t="s">
        <v>248</v>
      </c>
      <c r="E54" s="37" t="s">
        <v>236</v>
      </c>
      <c r="F54" s="38">
        <v>9332.81</v>
      </c>
      <c r="G54" s="37" t="s">
        <v>164</v>
      </c>
      <c r="H54" s="37" t="s">
        <v>249</v>
      </c>
    </row>
    <row r="55" spans="1:8" ht="15" customHeight="1" x14ac:dyDescent="0.25">
      <c r="A55" s="37" t="s">
        <v>246</v>
      </c>
      <c r="B55" s="37" t="s">
        <v>247</v>
      </c>
      <c r="C55" s="37" t="s">
        <v>181</v>
      </c>
      <c r="D55" s="37" t="s">
        <v>250</v>
      </c>
      <c r="E55" s="37" t="s">
        <v>231</v>
      </c>
      <c r="F55" s="38">
        <v>853.9</v>
      </c>
      <c r="G55" s="37" t="s">
        <v>164</v>
      </c>
      <c r="H55" s="37" t="s">
        <v>251</v>
      </c>
    </row>
    <row r="56" spans="1:8" ht="15" customHeight="1" x14ac:dyDescent="0.25">
      <c r="A56" s="37" t="s">
        <v>252</v>
      </c>
      <c r="B56" s="37" t="s">
        <v>253</v>
      </c>
      <c r="C56" s="37" t="s">
        <v>193</v>
      </c>
      <c r="D56" s="37" t="s">
        <v>254</v>
      </c>
      <c r="E56" s="37" t="s">
        <v>236</v>
      </c>
      <c r="F56" s="38">
        <v>4104.34</v>
      </c>
      <c r="G56" s="37" t="s">
        <v>164</v>
      </c>
      <c r="H56" s="37" t="s">
        <v>255</v>
      </c>
    </row>
    <row r="57" spans="1:8" ht="15" customHeight="1" x14ac:dyDescent="0.25">
      <c r="A57" s="39" t="s">
        <v>57</v>
      </c>
      <c r="B57" s="39"/>
      <c r="C57" s="39"/>
      <c r="D57" s="39"/>
      <c r="E57" s="39"/>
      <c r="F57" s="40">
        <f>SUM(F25:F56)</f>
        <v>167291.69999999998</v>
      </c>
      <c r="G57" s="39"/>
      <c r="H57" s="39"/>
    </row>
    <row r="58" spans="1:8" x14ac:dyDescent="0.25">
      <c r="F58" s="49">
        <f>F57*3400</f>
        <v>568791780</v>
      </c>
    </row>
    <row r="59" spans="1:8" ht="15" customHeight="1" x14ac:dyDescent="0.25">
      <c r="A59" s="6" t="s">
        <v>256</v>
      </c>
    </row>
    <row r="61" spans="1:8" ht="15" customHeight="1" x14ac:dyDescent="0.25">
      <c r="A61" s="36" t="s">
        <v>157</v>
      </c>
      <c r="B61" s="36" t="s">
        <v>20</v>
      </c>
      <c r="C61" s="36" t="s">
        <v>257</v>
      </c>
    </row>
    <row r="62" spans="1:8" ht="15" customHeight="1" x14ac:dyDescent="0.25">
      <c r="A62" s="24" t="s">
        <v>163</v>
      </c>
      <c r="B62" s="41">
        <f t="shared" ref="B62:B67" si="0">SUMIF($E$25:$E$56,A62,$F$25:$F$56)</f>
        <v>110432.89000000001</v>
      </c>
      <c r="C62" s="42">
        <f>B62/$F$57</f>
        <v>0.66012175140787033</v>
      </c>
    </row>
    <row r="63" spans="1:8" ht="15" customHeight="1" x14ac:dyDescent="0.25">
      <c r="A63" s="24" t="s">
        <v>236</v>
      </c>
      <c r="B63" s="41">
        <f t="shared" si="0"/>
        <v>28613.63</v>
      </c>
      <c r="C63" s="42">
        <f t="shared" ref="C63:C67" si="1">B63/$F$57</f>
        <v>0.17104034450005592</v>
      </c>
    </row>
    <row r="64" spans="1:8" ht="15" customHeight="1" x14ac:dyDescent="0.25">
      <c r="A64" s="24" t="s">
        <v>166</v>
      </c>
      <c r="B64" s="41">
        <f>SUMIF($E$25:$E$56,A64,$F$25:$F$56)</f>
        <v>12000</v>
      </c>
      <c r="C64" s="42">
        <f t="shared" si="1"/>
        <v>7.1730994424708469E-2</v>
      </c>
    </row>
    <row r="65" spans="1:3" ht="15" customHeight="1" x14ac:dyDescent="0.25">
      <c r="A65" s="24" t="s">
        <v>168</v>
      </c>
      <c r="B65" s="41">
        <f t="shared" si="0"/>
        <v>7480.9400000000005</v>
      </c>
      <c r="C65" s="42">
        <f t="shared" si="1"/>
        <v>4.4717938785964882E-2</v>
      </c>
    </row>
    <row r="66" spans="1:3" ht="15" customHeight="1" x14ac:dyDescent="0.25">
      <c r="A66" s="24" t="s">
        <v>187</v>
      </c>
      <c r="B66" s="41">
        <f t="shared" si="0"/>
        <v>7093.19</v>
      </c>
      <c r="C66" s="42">
        <f t="shared" si="1"/>
        <v>4.2400131028616485E-2</v>
      </c>
    </row>
    <row r="67" spans="1:3" ht="15" customHeight="1" x14ac:dyDescent="0.25">
      <c r="A67" s="24" t="s">
        <v>231</v>
      </c>
      <c r="B67" s="41">
        <f t="shared" si="0"/>
        <v>1671.05</v>
      </c>
      <c r="C67" s="42">
        <f t="shared" si="1"/>
        <v>9.9888398527840892E-3</v>
      </c>
    </row>
    <row r="68" spans="1:3" ht="15" customHeight="1" x14ac:dyDescent="0.25">
      <c r="A68" s="39" t="s">
        <v>57</v>
      </c>
      <c r="B68" s="40">
        <f>SUM(B62:B67)</f>
        <v>167291.70000000001</v>
      </c>
      <c r="C68" s="43">
        <f>SUM(C62:C67)</f>
        <v>1</v>
      </c>
    </row>
    <row r="70" spans="1:3" ht="15" customHeight="1" x14ac:dyDescent="0.25">
      <c r="A70" s="5" t="s">
        <v>258</v>
      </c>
    </row>
  </sheetData>
  <autoFilter ref="A24:H59" xr:uid="{00000000-0001-0000-0600-000000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"/>
  <sheetViews>
    <sheetView showGridLines="0" zoomScaleNormal="100" workbookViewId="0">
      <selection activeCell="D28" sqref="D28"/>
    </sheetView>
  </sheetViews>
  <sheetFormatPr baseColWidth="10" defaultColWidth="8.5703125" defaultRowHeight="15" x14ac:dyDescent="0.25"/>
  <cols>
    <col min="1" max="1" width="13" customWidth="1"/>
    <col min="2" max="2" width="24.85546875" bestFit="1" customWidth="1"/>
    <col min="3" max="3" width="20" customWidth="1"/>
    <col min="4" max="4" width="21.28515625" bestFit="1" customWidth="1"/>
    <col min="5" max="5" width="14" customWidth="1"/>
  </cols>
  <sheetData>
    <row r="1" spans="1:4" ht="18" customHeight="1" x14ac:dyDescent="0.3">
      <c r="A1" s="1" t="s">
        <v>259</v>
      </c>
    </row>
    <row r="2" spans="1:4" ht="15" customHeight="1" x14ac:dyDescent="0.25">
      <c r="A2" s="5" t="s">
        <v>260</v>
      </c>
    </row>
    <row r="4" spans="1:4" ht="15" customHeight="1" x14ac:dyDescent="0.25">
      <c r="A4" s="36" t="s">
        <v>38</v>
      </c>
      <c r="B4" s="36" t="s">
        <v>261</v>
      </c>
      <c r="C4" s="36" t="s">
        <v>262</v>
      </c>
      <c r="D4" s="36" t="s">
        <v>41</v>
      </c>
    </row>
    <row r="5" spans="1:4" ht="15" customHeight="1" x14ac:dyDescent="0.25">
      <c r="A5" s="37" t="s">
        <v>263</v>
      </c>
      <c r="B5" s="37" t="s">
        <v>264</v>
      </c>
      <c r="C5" s="66">
        <v>1151813.8</v>
      </c>
      <c r="D5" s="44" t="s">
        <v>164</v>
      </c>
    </row>
    <row r="6" spans="1:4" ht="15" customHeight="1" x14ac:dyDescent="0.25">
      <c r="A6" s="37" t="s">
        <v>265</v>
      </c>
      <c r="B6" s="37" t="s">
        <v>264</v>
      </c>
      <c r="C6" s="66">
        <v>14588853.49</v>
      </c>
      <c r="D6" s="44" t="s">
        <v>164</v>
      </c>
    </row>
    <row r="7" spans="1:4" ht="15" customHeight="1" x14ac:dyDescent="0.25">
      <c r="A7" s="37" t="s">
        <v>266</v>
      </c>
      <c r="B7" s="37" t="s">
        <v>267</v>
      </c>
      <c r="C7" s="66">
        <v>1363343.09</v>
      </c>
      <c r="D7" s="44" t="s">
        <v>164</v>
      </c>
    </row>
    <row r="8" spans="1:4" ht="15" customHeight="1" x14ac:dyDescent="0.25">
      <c r="A8" s="37" t="s">
        <v>266</v>
      </c>
      <c r="B8" s="37" t="s">
        <v>268</v>
      </c>
      <c r="C8" s="66">
        <v>1490362.87</v>
      </c>
      <c r="D8" s="44" t="s">
        <v>164</v>
      </c>
    </row>
    <row r="9" spans="1:4" ht="15" customHeight="1" x14ac:dyDescent="0.25">
      <c r="A9" s="37" t="s">
        <v>269</v>
      </c>
      <c r="B9" s="37" t="s">
        <v>267</v>
      </c>
      <c r="C9" s="66">
        <v>3284256</v>
      </c>
      <c r="D9" s="44" t="s">
        <v>164</v>
      </c>
    </row>
    <row r="10" spans="1:4" ht="15" customHeight="1" x14ac:dyDescent="0.25">
      <c r="A10" s="37" t="s">
        <v>269</v>
      </c>
      <c r="B10" s="37" t="s">
        <v>268</v>
      </c>
      <c r="C10" s="66">
        <v>20528015.149999999</v>
      </c>
      <c r="D10" s="44" t="s">
        <v>164</v>
      </c>
    </row>
    <row r="11" spans="1:4" ht="15" customHeight="1" x14ac:dyDescent="0.25">
      <c r="A11" s="37" t="s">
        <v>270</v>
      </c>
      <c r="B11" s="37" t="s">
        <v>264</v>
      </c>
      <c r="C11" s="66">
        <v>1720051.32</v>
      </c>
      <c r="D11" s="44" t="s">
        <v>164</v>
      </c>
    </row>
    <row r="12" spans="1:4" ht="15" customHeight="1" x14ac:dyDescent="0.25">
      <c r="A12" s="37" t="s">
        <v>271</v>
      </c>
      <c r="B12" s="37" t="s">
        <v>267</v>
      </c>
      <c r="C12" s="66">
        <v>2930459.2</v>
      </c>
      <c r="D12" s="44" t="s">
        <v>164</v>
      </c>
    </row>
    <row r="13" spans="1:4" ht="15" customHeight="1" x14ac:dyDescent="0.25">
      <c r="A13" s="37" t="s">
        <v>271</v>
      </c>
      <c r="B13" s="37" t="s">
        <v>268</v>
      </c>
      <c r="C13" s="66">
        <v>21243421.52</v>
      </c>
      <c r="D13" s="44" t="s">
        <v>164</v>
      </c>
    </row>
    <row r="14" spans="1:4" ht="15" customHeight="1" x14ac:dyDescent="0.25">
      <c r="A14" s="37" t="s">
        <v>272</v>
      </c>
      <c r="B14" s="37" t="s">
        <v>264</v>
      </c>
      <c r="C14" s="66">
        <v>1089888.72</v>
      </c>
      <c r="D14" s="44" t="s">
        <v>164</v>
      </c>
    </row>
    <row r="15" spans="1:4" ht="15" customHeight="1" x14ac:dyDescent="0.25">
      <c r="A15" s="37" t="s">
        <v>273</v>
      </c>
      <c r="B15" s="37" t="s">
        <v>264</v>
      </c>
      <c r="C15" s="66">
        <v>10003590.439999999</v>
      </c>
      <c r="D15" s="44" t="s">
        <v>164</v>
      </c>
    </row>
    <row r="16" spans="1:4" ht="15" customHeight="1" x14ac:dyDescent="0.25">
      <c r="A16" s="37" t="s">
        <v>274</v>
      </c>
      <c r="B16" s="37" t="s">
        <v>264</v>
      </c>
      <c r="C16" s="66">
        <v>1492958.71</v>
      </c>
      <c r="D16" s="44" t="s">
        <v>164</v>
      </c>
    </row>
    <row r="17" spans="1:4" ht="15" customHeight="1" x14ac:dyDescent="0.25">
      <c r="A17" s="45" t="s">
        <v>275</v>
      </c>
      <c r="B17" s="45" t="s">
        <v>264</v>
      </c>
      <c r="C17" s="67">
        <v>3085577.27</v>
      </c>
      <c r="D17" s="46" t="s">
        <v>276</v>
      </c>
    </row>
    <row r="18" spans="1:4" ht="15" customHeight="1" x14ac:dyDescent="0.25">
      <c r="A18" s="39" t="s">
        <v>57</v>
      </c>
      <c r="C18" s="40">
        <f>SUM(C5:C16)</f>
        <v>80887014.310000002</v>
      </c>
      <c r="D18" s="39"/>
    </row>
    <row r="20" spans="1:4" ht="15" customHeight="1" x14ac:dyDescent="0.25">
      <c r="A20" s="6" t="s">
        <v>277</v>
      </c>
    </row>
    <row r="22" spans="1:4" ht="15" customHeight="1" x14ac:dyDescent="0.25">
      <c r="A22" s="101" t="s">
        <v>41</v>
      </c>
      <c r="B22" s="101" t="s">
        <v>28</v>
      </c>
      <c r="C22" s="101" t="s">
        <v>278</v>
      </c>
    </row>
    <row r="23" spans="1:4" ht="15" customHeight="1" x14ac:dyDescent="0.25">
      <c r="A23" s="102" t="s">
        <v>279</v>
      </c>
      <c r="B23" s="103">
        <f>SUMIF(D5:D17,"Pagado",C5:C17)</f>
        <v>80887014.310000002</v>
      </c>
      <c r="C23" s="103">
        <f>B23/4000</f>
        <v>20221.7535775</v>
      </c>
    </row>
    <row r="24" spans="1:4" ht="32.450000000000003" customHeight="1" x14ac:dyDescent="0.25">
      <c r="A24" s="102" t="s">
        <v>280</v>
      </c>
      <c r="B24" s="103">
        <f>SUMIF(D5:D17,"Upcoming (pendiente)",C5:C17)</f>
        <v>3085577.27</v>
      </c>
      <c r="C24" s="103">
        <f>B24/4000</f>
        <v>771.39431750000006</v>
      </c>
    </row>
    <row r="25" spans="1:4" ht="15" customHeight="1" x14ac:dyDescent="0.25">
      <c r="A25" s="62" t="s">
        <v>57</v>
      </c>
      <c r="B25" s="104">
        <f>SUM(B23:B24)</f>
        <v>83972591.579999998</v>
      </c>
      <c r="C25" s="104">
        <f>SUM(C23:C24)</f>
        <v>20993.147894999998</v>
      </c>
    </row>
    <row r="27" spans="1:4" ht="15" customHeight="1" x14ac:dyDescent="0.25">
      <c r="A27" s="105" t="s">
        <v>281</v>
      </c>
      <c r="B27" s="76"/>
    </row>
    <row r="28" spans="1:4" ht="15" customHeight="1" x14ac:dyDescent="0.25">
      <c r="A28" s="101" t="s">
        <v>134</v>
      </c>
      <c r="B28" s="101" t="s">
        <v>28</v>
      </c>
    </row>
    <row r="29" spans="1:4" ht="15" customHeight="1" x14ac:dyDescent="0.25">
      <c r="A29" s="101" t="s">
        <v>136</v>
      </c>
      <c r="B29" s="106">
        <v>18594373.25</v>
      </c>
    </row>
    <row r="30" spans="1:4" ht="15" customHeight="1" x14ac:dyDescent="0.25">
      <c r="A30" s="101" t="s">
        <v>282</v>
      </c>
      <c r="B30" s="106">
        <v>62292641.060000002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showGridLines="0" zoomScaleNormal="100" workbookViewId="0">
      <selection activeCell="B18" sqref="B18"/>
    </sheetView>
  </sheetViews>
  <sheetFormatPr baseColWidth="10" defaultColWidth="8.5703125" defaultRowHeight="15" x14ac:dyDescent="0.25"/>
  <cols>
    <col min="1" max="1" width="26" customWidth="1"/>
    <col min="2" max="2" width="20" customWidth="1"/>
    <col min="3" max="3" width="30" customWidth="1"/>
    <col min="4" max="4" width="16" customWidth="1"/>
    <col min="5" max="5" width="14" customWidth="1"/>
    <col min="6" max="6" width="14.5703125" bestFit="1" customWidth="1"/>
  </cols>
  <sheetData>
    <row r="1" spans="1:7" ht="18" customHeight="1" x14ac:dyDescent="0.3">
      <c r="A1" s="1" t="s">
        <v>12</v>
      </c>
    </row>
    <row r="2" spans="1:7" ht="15" customHeight="1" x14ac:dyDescent="0.25">
      <c r="A2" s="2" t="s">
        <v>283</v>
      </c>
    </row>
    <row r="4" spans="1:7" ht="15" customHeight="1" x14ac:dyDescent="0.25">
      <c r="A4" s="52" t="s">
        <v>284</v>
      </c>
      <c r="B4" s="52" t="s">
        <v>19</v>
      </c>
      <c r="C4" s="52" t="s">
        <v>285</v>
      </c>
      <c r="D4" s="52" t="s">
        <v>286</v>
      </c>
      <c r="E4" s="52" t="s">
        <v>41</v>
      </c>
      <c r="F4" s="56"/>
    </row>
    <row r="5" spans="1:7" ht="15" customHeight="1" x14ac:dyDescent="0.25">
      <c r="A5" s="57" t="s">
        <v>287</v>
      </c>
      <c r="B5" s="57" t="s">
        <v>288</v>
      </c>
      <c r="C5" s="57" t="s">
        <v>289</v>
      </c>
      <c r="D5" s="58">
        <v>1313</v>
      </c>
      <c r="E5" s="59" t="s">
        <v>290</v>
      </c>
      <c r="F5" s="58">
        <v>0</v>
      </c>
      <c r="G5" t="s">
        <v>350</v>
      </c>
    </row>
    <row r="6" spans="1:7" ht="15" customHeight="1" x14ac:dyDescent="0.25">
      <c r="A6" s="57" t="s">
        <v>291</v>
      </c>
      <c r="B6" s="57" t="s">
        <v>288</v>
      </c>
      <c r="C6" s="57" t="s">
        <v>292</v>
      </c>
      <c r="D6" s="58">
        <v>1050</v>
      </c>
      <c r="E6" s="59" t="s">
        <v>290</v>
      </c>
      <c r="F6" s="58">
        <v>0</v>
      </c>
      <c r="G6" t="s">
        <v>351</v>
      </c>
    </row>
    <row r="7" spans="1:7" ht="15" customHeight="1" x14ac:dyDescent="0.25">
      <c r="A7" s="60" t="s">
        <v>291</v>
      </c>
      <c r="B7" s="60" t="s">
        <v>293</v>
      </c>
      <c r="C7" s="60" t="s">
        <v>294</v>
      </c>
      <c r="D7" s="58">
        <v>546</v>
      </c>
      <c r="E7" s="61" t="s">
        <v>295</v>
      </c>
      <c r="F7" s="58">
        <v>0</v>
      </c>
    </row>
    <row r="8" spans="1:7" ht="15" customHeight="1" x14ac:dyDescent="0.25">
      <c r="A8" s="57" t="s">
        <v>296</v>
      </c>
      <c r="B8" s="57" t="s">
        <v>293</v>
      </c>
      <c r="C8" s="57" t="s">
        <v>294</v>
      </c>
      <c r="D8" s="58">
        <v>444</v>
      </c>
      <c r="E8" s="59" t="s">
        <v>290</v>
      </c>
      <c r="F8" s="58">
        <v>2004371</v>
      </c>
    </row>
    <row r="9" spans="1:7" ht="15" customHeight="1" x14ac:dyDescent="0.25">
      <c r="A9" s="57" t="s">
        <v>297</v>
      </c>
      <c r="B9" s="57" t="s">
        <v>288</v>
      </c>
      <c r="C9" s="57" t="s">
        <v>294</v>
      </c>
      <c r="D9" s="58">
        <v>350</v>
      </c>
      <c r="E9" s="59" t="s">
        <v>290</v>
      </c>
      <c r="F9" s="58">
        <v>0</v>
      </c>
    </row>
    <row r="10" spans="1:7" ht="15" customHeight="1" x14ac:dyDescent="0.25">
      <c r="A10" s="60" t="s">
        <v>297</v>
      </c>
      <c r="B10" s="60" t="s">
        <v>293</v>
      </c>
      <c r="C10" s="60" t="s">
        <v>294</v>
      </c>
      <c r="D10" s="58">
        <v>420</v>
      </c>
      <c r="E10" s="61" t="s">
        <v>295</v>
      </c>
      <c r="F10" s="58">
        <v>1722000</v>
      </c>
    </row>
    <row r="11" spans="1:7" ht="15" customHeight="1" x14ac:dyDescent="0.25">
      <c r="A11" s="60" t="s">
        <v>298</v>
      </c>
      <c r="B11" s="60" t="s">
        <v>288</v>
      </c>
      <c r="C11" s="60" t="s">
        <v>299</v>
      </c>
      <c r="D11" s="58">
        <v>338</v>
      </c>
      <c r="E11" s="61" t="s">
        <v>295</v>
      </c>
      <c r="F11" s="99">
        <v>3728729</v>
      </c>
    </row>
    <row r="12" spans="1:7" ht="15" customHeight="1" x14ac:dyDescent="0.25">
      <c r="A12" s="60" t="s">
        <v>298</v>
      </c>
      <c r="B12" s="60" t="s">
        <v>293</v>
      </c>
      <c r="C12" s="60" t="s">
        <v>299</v>
      </c>
      <c r="D12" s="58">
        <v>20</v>
      </c>
      <c r="E12" s="61" t="s">
        <v>295</v>
      </c>
      <c r="F12" s="99"/>
    </row>
    <row r="13" spans="1:7" ht="15" customHeight="1" x14ac:dyDescent="0.25">
      <c r="A13" s="62" t="s">
        <v>57</v>
      </c>
      <c r="B13" s="63"/>
      <c r="C13" s="63"/>
      <c r="D13" s="64">
        <f>SUM(D5:D12)</f>
        <v>4481</v>
      </c>
      <c r="E13" s="63"/>
      <c r="F13" s="65">
        <f>SUM(F5:F12)</f>
        <v>7455100</v>
      </c>
    </row>
    <row r="15" spans="1:7" ht="15" customHeight="1" x14ac:dyDescent="0.25">
      <c r="A15" s="6" t="s">
        <v>300</v>
      </c>
    </row>
    <row r="16" spans="1:7" ht="15" customHeight="1" x14ac:dyDescent="0.25">
      <c r="A16" t="s">
        <v>41</v>
      </c>
      <c r="B16" t="s">
        <v>28</v>
      </c>
    </row>
    <row r="17" spans="1:2" ht="15" customHeight="1" x14ac:dyDescent="0.25">
      <c r="A17" t="s">
        <v>295</v>
      </c>
      <c r="B17" s="8">
        <v>3726371</v>
      </c>
    </row>
    <row r="18" spans="1:2" ht="15" customHeight="1" x14ac:dyDescent="0.25">
      <c r="A18" t="s">
        <v>290</v>
      </c>
      <c r="B18" s="8">
        <v>12628000</v>
      </c>
    </row>
    <row r="19" spans="1:2" x14ac:dyDescent="0.25">
      <c r="B19" s="51">
        <f>D5+D6+D8+D9</f>
        <v>3157</v>
      </c>
    </row>
    <row r="20" spans="1:2" x14ac:dyDescent="0.25">
      <c r="B20" s="51"/>
    </row>
  </sheetData>
  <mergeCells count="1">
    <mergeCell ref="F11:F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showGridLines="0" zoomScaleNormal="100" workbookViewId="0"/>
  </sheetViews>
  <sheetFormatPr baseColWidth="10" defaultColWidth="8.5703125" defaultRowHeight="15" x14ac:dyDescent="0.25"/>
  <cols>
    <col min="1" max="1" width="14" customWidth="1"/>
    <col min="2" max="4" width="18" customWidth="1"/>
  </cols>
  <sheetData>
    <row r="1" spans="1:4" ht="18" customHeight="1" x14ac:dyDescent="0.3">
      <c r="A1" s="1" t="s">
        <v>13</v>
      </c>
    </row>
    <row r="2" spans="1:4" ht="15" customHeight="1" x14ac:dyDescent="0.25">
      <c r="A2" s="2" t="s">
        <v>301</v>
      </c>
    </row>
    <row r="4" spans="1:4" ht="15" customHeight="1" x14ac:dyDescent="0.25">
      <c r="A4" s="3" t="s">
        <v>302</v>
      </c>
      <c r="B4" s="3" t="s">
        <v>303</v>
      </c>
      <c r="C4" s="3" t="s">
        <v>304</v>
      </c>
      <c r="D4" s="3" t="s">
        <v>305</v>
      </c>
    </row>
    <row r="5" spans="1:4" ht="15" customHeight="1" x14ac:dyDescent="0.25">
      <c r="A5" s="11">
        <v>1</v>
      </c>
      <c r="B5" s="47">
        <v>50</v>
      </c>
      <c r="C5" s="47">
        <v>50</v>
      </c>
      <c r="D5" s="48">
        <v>165000</v>
      </c>
    </row>
    <row r="6" spans="1:4" ht="15" customHeight="1" x14ac:dyDescent="0.25">
      <c r="A6" s="11">
        <v>5</v>
      </c>
      <c r="B6" s="47">
        <v>100</v>
      </c>
      <c r="C6" s="47">
        <v>500</v>
      </c>
      <c r="D6" s="48">
        <v>1650000</v>
      </c>
    </row>
    <row r="7" spans="1:4" ht="15" customHeight="1" x14ac:dyDescent="0.25">
      <c r="A7" s="11">
        <v>7</v>
      </c>
      <c r="B7" s="47">
        <v>1000</v>
      </c>
      <c r="C7" s="47">
        <v>7000</v>
      </c>
      <c r="D7" s="48">
        <v>23100000</v>
      </c>
    </row>
    <row r="8" spans="1:4" ht="15" customHeight="1" x14ac:dyDescent="0.25">
      <c r="A8" s="12" t="s">
        <v>57</v>
      </c>
      <c r="B8" s="13"/>
      <c r="C8" s="35">
        <f>SUM(C5:C7)</f>
        <v>7550</v>
      </c>
      <c r="D8" s="23">
        <f>SUM(D5:D7)</f>
        <v>24915000</v>
      </c>
    </row>
    <row r="10" spans="1:4" ht="15" customHeight="1" x14ac:dyDescent="0.25">
      <c r="A10" s="2" t="s">
        <v>306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0"/>
  <sheetViews>
    <sheetView showGridLines="0" topLeftCell="A29" zoomScaleNormal="100" workbookViewId="0">
      <selection activeCell="M19" sqref="M19"/>
    </sheetView>
  </sheetViews>
  <sheetFormatPr baseColWidth="10" defaultColWidth="8.5703125" defaultRowHeight="15" x14ac:dyDescent="0.25"/>
  <cols>
    <col min="2" max="2" width="42" customWidth="1"/>
    <col min="3" max="3" width="29.85546875" customWidth="1"/>
    <col min="4" max="6" width="20" customWidth="1"/>
    <col min="7" max="7" width="22.7109375" bestFit="1" customWidth="1"/>
  </cols>
  <sheetData>
    <row r="1" spans="1:8" ht="18" customHeight="1" x14ac:dyDescent="0.3">
      <c r="B1" s="1" t="s">
        <v>307</v>
      </c>
    </row>
    <row r="2" spans="1:8" ht="15" customHeight="1" x14ac:dyDescent="0.25">
      <c r="B2" s="2" t="s">
        <v>308</v>
      </c>
    </row>
    <row r="4" spans="1:8" ht="36" customHeight="1" x14ac:dyDescent="0.25">
      <c r="A4" s="52" t="s">
        <v>309</v>
      </c>
      <c r="B4" s="52" t="s">
        <v>388</v>
      </c>
      <c r="C4" s="52" t="s">
        <v>389</v>
      </c>
      <c r="D4" s="52" t="s">
        <v>390</v>
      </c>
      <c r="E4" s="52" t="s">
        <v>76</v>
      </c>
      <c r="F4" s="52" t="s">
        <v>310</v>
      </c>
      <c r="G4" s="52" t="s">
        <v>311</v>
      </c>
      <c r="H4" s="100" t="s">
        <v>398</v>
      </c>
    </row>
    <row r="5" spans="1:8" ht="15" customHeight="1" x14ac:dyDescent="0.25">
      <c r="A5" s="77" t="s">
        <v>312</v>
      </c>
      <c r="B5" s="77" t="s">
        <v>358</v>
      </c>
      <c r="C5" s="78" t="s">
        <v>359</v>
      </c>
      <c r="D5" s="77" t="s">
        <v>360</v>
      </c>
      <c r="E5" s="78" t="s">
        <v>361</v>
      </c>
      <c r="F5" s="79">
        <v>5532.54</v>
      </c>
      <c r="G5" s="75">
        <f>F5*H5</f>
        <v>19917144</v>
      </c>
      <c r="H5" s="76">
        <v>3600</v>
      </c>
    </row>
    <row r="6" spans="1:8" ht="15" customHeight="1" x14ac:dyDescent="0.25">
      <c r="A6" s="77" t="s">
        <v>312</v>
      </c>
      <c r="B6" s="77" t="s">
        <v>358</v>
      </c>
      <c r="C6" s="78" t="s">
        <v>362</v>
      </c>
      <c r="D6" s="77" t="s">
        <v>360</v>
      </c>
      <c r="E6" s="78" t="s">
        <v>361</v>
      </c>
      <c r="F6" s="79">
        <v>1871.82</v>
      </c>
      <c r="G6" s="75">
        <f t="shared" ref="G6:G29" si="0">F6*H6</f>
        <v>6738552</v>
      </c>
      <c r="H6" s="76">
        <v>3600</v>
      </c>
    </row>
    <row r="7" spans="1:8" ht="15" customHeight="1" x14ac:dyDescent="0.25">
      <c r="A7" s="77" t="s">
        <v>312</v>
      </c>
      <c r="B7" s="77" t="s">
        <v>358</v>
      </c>
      <c r="C7" s="78" t="s">
        <v>363</v>
      </c>
      <c r="D7" s="77" t="s">
        <v>360</v>
      </c>
      <c r="E7" s="78" t="s">
        <v>361</v>
      </c>
      <c r="F7" s="79">
        <v>420.29</v>
      </c>
      <c r="G7" s="75">
        <f t="shared" si="0"/>
        <v>1513044</v>
      </c>
      <c r="H7" s="76">
        <v>3600</v>
      </c>
    </row>
    <row r="8" spans="1:8" ht="15" customHeight="1" x14ac:dyDescent="0.25">
      <c r="A8" s="77" t="s">
        <v>312</v>
      </c>
      <c r="B8" s="77" t="s">
        <v>364</v>
      </c>
      <c r="C8" s="78" t="s">
        <v>365</v>
      </c>
      <c r="D8" s="77" t="s">
        <v>360</v>
      </c>
      <c r="E8" s="78" t="s">
        <v>361</v>
      </c>
      <c r="F8" s="79">
        <v>1930.78</v>
      </c>
      <c r="G8" s="75">
        <f t="shared" si="0"/>
        <v>6950808</v>
      </c>
      <c r="H8" s="76">
        <v>3600</v>
      </c>
    </row>
    <row r="9" spans="1:8" ht="15" customHeight="1" x14ac:dyDescent="0.25">
      <c r="A9" s="77" t="s">
        <v>312</v>
      </c>
      <c r="B9" s="77" t="s">
        <v>364</v>
      </c>
      <c r="C9" s="92" t="s">
        <v>366</v>
      </c>
      <c r="D9" s="77" t="s">
        <v>360</v>
      </c>
      <c r="E9" s="78" t="s">
        <v>361</v>
      </c>
      <c r="F9" s="79">
        <v>5480.99</v>
      </c>
      <c r="G9" s="75">
        <f t="shared" si="0"/>
        <v>19731564</v>
      </c>
      <c r="H9" s="76">
        <v>3600</v>
      </c>
    </row>
    <row r="10" spans="1:8" ht="15" customHeight="1" x14ac:dyDescent="0.25">
      <c r="A10" s="77" t="s">
        <v>312</v>
      </c>
      <c r="B10" s="77" t="s">
        <v>364</v>
      </c>
      <c r="C10" s="78" t="s">
        <v>367</v>
      </c>
      <c r="D10" s="77" t="s">
        <v>360</v>
      </c>
      <c r="E10" s="78" t="s">
        <v>361</v>
      </c>
      <c r="F10" s="79">
        <v>1841.93</v>
      </c>
      <c r="G10" s="75">
        <f t="shared" si="0"/>
        <v>6630948</v>
      </c>
      <c r="H10" s="76">
        <v>3600</v>
      </c>
    </row>
    <row r="11" spans="1:8" ht="15" customHeight="1" x14ac:dyDescent="0.25">
      <c r="A11" s="77" t="s">
        <v>312</v>
      </c>
      <c r="B11" s="77" t="s">
        <v>364</v>
      </c>
      <c r="C11" s="78" t="s">
        <v>368</v>
      </c>
      <c r="D11" s="77" t="s">
        <v>360</v>
      </c>
      <c r="E11" s="78" t="s">
        <v>361</v>
      </c>
      <c r="F11" s="79">
        <v>1405.08</v>
      </c>
      <c r="G11" s="75">
        <f t="shared" si="0"/>
        <v>5058288</v>
      </c>
      <c r="H11" s="76">
        <v>3600</v>
      </c>
    </row>
    <row r="12" spans="1:8" ht="15" customHeight="1" x14ac:dyDescent="0.25">
      <c r="A12" s="77" t="s">
        <v>312</v>
      </c>
      <c r="B12" s="77" t="s">
        <v>364</v>
      </c>
      <c r="C12" s="78" t="s">
        <v>369</v>
      </c>
      <c r="D12" s="77" t="s">
        <v>360</v>
      </c>
      <c r="E12" s="78" t="s">
        <v>361</v>
      </c>
      <c r="F12" s="79">
        <v>807.68</v>
      </c>
      <c r="G12" s="75">
        <f t="shared" si="0"/>
        <v>2907648</v>
      </c>
      <c r="H12" s="76">
        <v>3600</v>
      </c>
    </row>
    <row r="13" spans="1:8" ht="15" customHeight="1" x14ac:dyDescent="0.25">
      <c r="A13" s="77" t="s">
        <v>312</v>
      </c>
      <c r="B13" s="77" t="s">
        <v>370</v>
      </c>
      <c r="C13" s="78" t="s">
        <v>371</v>
      </c>
      <c r="D13" s="77" t="s">
        <v>360</v>
      </c>
      <c r="E13" s="78" t="s">
        <v>361</v>
      </c>
      <c r="F13" s="79">
        <v>1338.84</v>
      </c>
      <c r="G13" s="75">
        <f t="shared" si="0"/>
        <v>4819824</v>
      </c>
      <c r="H13" s="76">
        <v>3600</v>
      </c>
    </row>
    <row r="14" spans="1:8" ht="15" customHeight="1" x14ac:dyDescent="0.25">
      <c r="A14" s="77" t="s">
        <v>312</v>
      </c>
      <c r="B14" s="83" t="s">
        <v>370</v>
      </c>
      <c r="C14" s="78" t="s">
        <v>372</v>
      </c>
      <c r="D14" s="77" t="s">
        <v>360</v>
      </c>
      <c r="E14" s="78" t="s">
        <v>361</v>
      </c>
      <c r="F14" s="79">
        <v>4587.57</v>
      </c>
      <c r="G14" s="75">
        <f t="shared" si="0"/>
        <v>16515251.999999998</v>
      </c>
      <c r="H14" s="76">
        <v>3600</v>
      </c>
    </row>
    <row r="15" spans="1:8" ht="15" customHeight="1" x14ac:dyDescent="0.25">
      <c r="A15" s="77" t="s">
        <v>312</v>
      </c>
      <c r="B15" s="77" t="s">
        <v>370</v>
      </c>
      <c r="C15" s="78" t="s">
        <v>373</v>
      </c>
      <c r="D15" s="77" t="s">
        <v>360</v>
      </c>
      <c r="E15" s="78" t="s">
        <v>361</v>
      </c>
      <c r="F15" s="79">
        <v>2322</v>
      </c>
      <c r="G15" s="75">
        <f t="shared" si="0"/>
        <v>8359200</v>
      </c>
      <c r="H15" s="76">
        <v>3600</v>
      </c>
    </row>
    <row r="16" spans="1:8" ht="15" customHeight="1" x14ac:dyDescent="0.25">
      <c r="A16" s="77" t="s">
        <v>312</v>
      </c>
      <c r="B16" s="77" t="s">
        <v>370</v>
      </c>
      <c r="C16" s="78" t="s">
        <v>374</v>
      </c>
      <c r="D16" s="77" t="s">
        <v>360</v>
      </c>
      <c r="E16" s="78" t="s">
        <v>361</v>
      </c>
      <c r="F16" s="79">
        <v>1580.75</v>
      </c>
      <c r="G16" s="75">
        <f t="shared" si="0"/>
        <v>5690700</v>
      </c>
      <c r="H16" s="76">
        <v>3600</v>
      </c>
    </row>
    <row r="17" spans="1:8" ht="15" customHeight="1" x14ac:dyDescent="0.25">
      <c r="A17" s="77" t="s">
        <v>312</v>
      </c>
      <c r="B17" s="77" t="s">
        <v>375</v>
      </c>
      <c r="C17" s="78" t="s">
        <v>376</v>
      </c>
      <c r="D17" s="77" t="s">
        <v>360</v>
      </c>
      <c r="E17" s="78" t="s">
        <v>361</v>
      </c>
      <c r="F17" s="79">
        <v>2471.7399999999998</v>
      </c>
      <c r="G17" s="75">
        <f t="shared" si="0"/>
        <v>8898264</v>
      </c>
      <c r="H17" s="76">
        <v>3600</v>
      </c>
    </row>
    <row r="18" spans="1:8" ht="15" customHeight="1" x14ac:dyDescent="0.25">
      <c r="A18" s="77" t="s">
        <v>312</v>
      </c>
      <c r="B18" s="77" t="s">
        <v>375</v>
      </c>
      <c r="C18" s="78" t="s">
        <v>377</v>
      </c>
      <c r="D18" s="77" t="s">
        <v>360</v>
      </c>
      <c r="E18" s="78" t="s">
        <v>361</v>
      </c>
      <c r="F18" s="79">
        <v>1917.3</v>
      </c>
      <c r="G18" s="75">
        <f t="shared" si="0"/>
        <v>6902280</v>
      </c>
      <c r="H18" s="76">
        <v>3600</v>
      </c>
    </row>
    <row r="19" spans="1:8" s="69" customFormat="1" ht="15" customHeight="1" x14ac:dyDescent="0.25">
      <c r="A19" s="77" t="s">
        <v>312</v>
      </c>
      <c r="B19" s="77" t="s">
        <v>375</v>
      </c>
      <c r="C19" s="78" t="s">
        <v>378</v>
      </c>
      <c r="D19" s="77" t="s">
        <v>360</v>
      </c>
      <c r="E19" s="78" t="s">
        <v>361</v>
      </c>
      <c r="F19" s="79">
        <v>2000</v>
      </c>
      <c r="G19" s="75">
        <f t="shared" si="0"/>
        <v>7200000</v>
      </c>
      <c r="H19" s="76">
        <v>3600</v>
      </c>
    </row>
    <row r="20" spans="1:8" ht="15" customHeight="1" x14ac:dyDescent="0.25">
      <c r="A20" s="77" t="s">
        <v>312</v>
      </c>
      <c r="B20" s="77" t="s">
        <v>375</v>
      </c>
      <c r="C20" s="80" t="s">
        <v>379</v>
      </c>
      <c r="D20" s="81" t="s">
        <v>380</v>
      </c>
      <c r="E20" s="80" t="s">
        <v>381</v>
      </c>
      <c r="F20" s="80" t="s">
        <v>382</v>
      </c>
      <c r="G20" s="75">
        <v>0</v>
      </c>
      <c r="H20" s="76">
        <v>3600</v>
      </c>
    </row>
    <row r="21" spans="1:8" ht="15" customHeight="1" x14ac:dyDescent="0.25">
      <c r="A21" s="77" t="s">
        <v>312</v>
      </c>
      <c r="B21" s="77" t="s">
        <v>375</v>
      </c>
      <c r="C21" s="78" t="s">
        <v>383</v>
      </c>
      <c r="D21" s="77" t="s">
        <v>360</v>
      </c>
      <c r="E21" s="78" t="s">
        <v>361</v>
      </c>
      <c r="F21" s="79">
        <v>483.03</v>
      </c>
      <c r="G21" s="75">
        <f t="shared" si="0"/>
        <v>1738908</v>
      </c>
      <c r="H21" s="76">
        <v>3600</v>
      </c>
    </row>
    <row r="22" spans="1:8" ht="15" customHeight="1" x14ac:dyDescent="0.25">
      <c r="A22" s="77" t="s">
        <v>384</v>
      </c>
      <c r="B22" s="77" t="s">
        <v>358</v>
      </c>
      <c r="C22" s="80" t="s">
        <v>319</v>
      </c>
      <c r="D22" s="81" t="s">
        <v>380</v>
      </c>
      <c r="E22" s="80" t="s">
        <v>320</v>
      </c>
      <c r="F22" s="80" t="s">
        <v>382</v>
      </c>
      <c r="G22" s="75">
        <v>0</v>
      </c>
      <c r="H22" s="76">
        <v>3600</v>
      </c>
    </row>
    <row r="23" spans="1:8" ht="15" customHeight="1" x14ac:dyDescent="0.25">
      <c r="A23" s="77" t="s">
        <v>384</v>
      </c>
      <c r="B23" s="77" t="s">
        <v>358</v>
      </c>
      <c r="C23" s="78" t="s">
        <v>385</v>
      </c>
      <c r="D23" s="77" t="s">
        <v>360</v>
      </c>
      <c r="E23" s="78" t="s">
        <v>361</v>
      </c>
      <c r="F23" s="79">
        <v>8364.83</v>
      </c>
      <c r="G23" s="75">
        <f t="shared" si="0"/>
        <v>30113388</v>
      </c>
      <c r="H23" s="76">
        <v>3600</v>
      </c>
    </row>
    <row r="24" spans="1:8" ht="15" customHeight="1" x14ac:dyDescent="0.25">
      <c r="A24" s="77" t="s">
        <v>384</v>
      </c>
      <c r="B24" s="77" t="s">
        <v>358</v>
      </c>
      <c r="C24" s="80" t="s">
        <v>318</v>
      </c>
      <c r="D24" s="81" t="s">
        <v>380</v>
      </c>
      <c r="E24" s="80" t="s">
        <v>315</v>
      </c>
      <c r="F24" s="80" t="s">
        <v>382</v>
      </c>
      <c r="G24" s="75">
        <v>0</v>
      </c>
      <c r="H24" s="76">
        <v>3600</v>
      </c>
    </row>
    <row r="25" spans="1:8" ht="15" customHeight="1" x14ac:dyDescent="0.25">
      <c r="A25" s="77" t="s">
        <v>384</v>
      </c>
      <c r="B25" s="77" t="s">
        <v>358</v>
      </c>
      <c r="C25" s="80" t="s">
        <v>314</v>
      </c>
      <c r="D25" s="81" t="s">
        <v>380</v>
      </c>
      <c r="E25" s="80" t="s">
        <v>315</v>
      </c>
      <c r="F25" s="80" t="s">
        <v>382</v>
      </c>
      <c r="G25" s="75">
        <v>0</v>
      </c>
      <c r="H25" s="76">
        <v>3600</v>
      </c>
    </row>
    <row r="26" spans="1:8" ht="15" customHeight="1" x14ac:dyDescent="0.25">
      <c r="A26" s="77" t="s">
        <v>384</v>
      </c>
      <c r="B26" s="77" t="s">
        <v>358</v>
      </c>
      <c r="C26" s="80" t="s">
        <v>321</v>
      </c>
      <c r="D26" s="81" t="s">
        <v>380</v>
      </c>
      <c r="E26" s="80" t="s">
        <v>320</v>
      </c>
      <c r="F26" s="80" t="s">
        <v>382</v>
      </c>
      <c r="G26" s="75">
        <v>0</v>
      </c>
      <c r="H26" s="76">
        <v>3600</v>
      </c>
    </row>
    <row r="27" spans="1:8" ht="15" customHeight="1" x14ac:dyDescent="0.25">
      <c r="A27" s="77" t="s">
        <v>384</v>
      </c>
      <c r="B27" s="77" t="s">
        <v>358</v>
      </c>
      <c r="C27" s="78" t="s">
        <v>386</v>
      </c>
      <c r="D27" s="77" t="s">
        <v>360</v>
      </c>
      <c r="E27" s="78" t="s">
        <v>361</v>
      </c>
      <c r="F27" s="79">
        <v>1289.08</v>
      </c>
      <c r="G27" s="75">
        <f t="shared" si="0"/>
        <v>4640688</v>
      </c>
      <c r="H27" s="76">
        <v>3600</v>
      </c>
    </row>
    <row r="28" spans="1:8" ht="15" customHeight="1" x14ac:dyDescent="0.25">
      <c r="A28" s="77" t="s">
        <v>384</v>
      </c>
      <c r="B28" s="77" t="s">
        <v>370</v>
      </c>
      <c r="C28" s="80" t="s">
        <v>317</v>
      </c>
      <c r="D28" s="81" t="s">
        <v>380</v>
      </c>
      <c r="E28" s="80" t="s">
        <v>315</v>
      </c>
      <c r="F28" s="80" t="s">
        <v>382</v>
      </c>
      <c r="G28" s="75">
        <v>0</v>
      </c>
      <c r="H28" s="76">
        <v>3600</v>
      </c>
    </row>
    <row r="29" spans="1:8" ht="15" customHeight="1" x14ac:dyDescent="0.25">
      <c r="A29" s="77" t="s">
        <v>384</v>
      </c>
      <c r="B29" s="77" t="s">
        <v>375</v>
      </c>
      <c r="C29" s="78" t="s">
        <v>377</v>
      </c>
      <c r="D29" s="77" t="s">
        <v>360</v>
      </c>
      <c r="E29" s="78" t="s">
        <v>361</v>
      </c>
      <c r="F29" s="79">
        <v>3407</v>
      </c>
      <c r="G29" s="75">
        <f t="shared" si="0"/>
        <v>12265200</v>
      </c>
      <c r="H29" s="76">
        <v>3600</v>
      </c>
    </row>
    <row r="30" spans="1:8" ht="15" customHeight="1" x14ac:dyDescent="0.25">
      <c r="A30" s="76"/>
      <c r="B30" s="82" t="s">
        <v>57</v>
      </c>
      <c r="C30" s="82">
        <f>SUM(C5:C29)</f>
        <v>0</v>
      </c>
      <c r="D30" s="82">
        <f>SUM(D5:D29)</f>
        <v>0</v>
      </c>
      <c r="E30" s="82">
        <f>SUM(E5:E29)</f>
        <v>0</v>
      </c>
      <c r="F30" s="91">
        <f>SUM(F5:F29)</f>
        <v>49053.250000000007</v>
      </c>
      <c r="G30" s="82">
        <f>SUM(G5:G29)</f>
        <v>176591700</v>
      </c>
    </row>
    <row r="32" spans="1:8" ht="15" customHeight="1" x14ac:dyDescent="0.25">
      <c r="B32" s="6" t="s">
        <v>313</v>
      </c>
    </row>
    <row r="33" spans="1:7" ht="15" customHeight="1" x14ac:dyDescent="0.25">
      <c r="B33" s="3" t="s">
        <v>41</v>
      </c>
      <c r="C33" s="3" t="s">
        <v>20</v>
      </c>
      <c r="D33" s="3" t="s">
        <v>28</v>
      </c>
    </row>
    <row r="34" spans="1:7" ht="15" customHeight="1" x14ac:dyDescent="0.25">
      <c r="A34" s="77" t="s">
        <v>312</v>
      </c>
      <c r="B34" s="84" t="s">
        <v>358</v>
      </c>
      <c r="C34" s="87">
        <f>F5+F6+F7</f>
        <v>7824.65</v>
      </c>
      <c r="D34" s="88">
        <f>G5+G6+G7</f>
        <v>28168740</v>
      </c>
    </row>
    <row r="35" spans="1:7" ht="15" customHeight="1" x14ac:dyDescent="0.25">
      <c r="A35" s="77" t="s">
        <v>312</v>
      </c>
      <c r="B35" s="84" t="s">
        <v>364</v>
      </c>
      <c r="C35" s="87">
        <f>F8+F9+F10+F11+F12</f>
        <v>11466.46</v>
      </c>
      <c r="D35" s="88">
        <f>G8+G9+G10+G11+G12</f>
        <v>41279256</v>
      </c>
    </row>
    <row r="36" spans="1:7" ht="15" customHeight="1" x14ac:dyDescent="0.25">
      <c r="A36" s="77" t="s">
        <v>312</v>
      </c>
      <c r="B36" s="84" t="s">
        <v>370</v>
      </c>
      <c r="C36" s="87">
        <f>F13+F14+F15+F16</f>
        <v>9829.16</v>
      </c>
      <c r="D36" s="88">
        <f>SUM(G13:G16)</f>
        <v>35384976</v>
      </c>
    </row>
    <row r="37" spans="1:7" ht="15" customHeight="1" x14ac:dyDescent="0.25">
      <c r="A37" s="77" t="s">
        <v>312</v>
      </c>
      <c r="B37" s="84" t="s">
        <v>375</v>
      </c>
      <c r="C37" s="87">
        <f>SUM(F17:F21)</f>
        <v>6872.07</v>
      </c>
      <c r="D37" s="88">
        <f>SUM(G17:G21)</f>
        <v>24739452</v>
      </c>
    </row>
    <row r="38" spans="1:7" ht="15" customHeight="1" x14ac:dyDescent="0.25">
      <c r="A38" s="77" t="s">
        <v>384</v>
      </c>
      <c r="B38" s="84" t="s">
        <v>358</v>
      </c>
      <c r="C38" s="85">
        <f>F23+F27</f>
        <v>9653.91</v>
      </c>
      <c r="D38" s="86">
        <f>G23+G27</f>
        <v>34754076</v>
      </c>
    </row>
    <row r="39" spans="1:7" ht="15" customHeight="1" x14ac:dyDescent="0.25">
      <c r="A39" s="77" t="s">
        <v>384</v>
      </c>
      <c r="B39" s="84" t="s">
        <v>370</v>
      </c>
      <c r="C39" s="85">
        <v>0</v>
      </c>
      <c r="D39" s="86"/>
    </row>
    <row r="40" spans="1:7" ht="15" customHeight="1" x14ac:dyDescent="0.25">
      <c r="A40" s="77" t="s">
        <v>384</v>
      </c>
      <c r="B40" s="84" t="s">
        <v>375</v>
      </c>
      <c r="C40" s="89">
        <f>F29</f>
        <v>3407</v>
      </c>
      <c r="D40" s="86">
        <f>G29</f>
        <v>12265200</v>
      </c>
    </row>
    <row r="41" spans="1:7" ht="15" customHeight="1" x14ac:dyDescent="0.25">
      <c r="B41" s="12" t="s">
        <v>57</v>
      </c>
      <c r="C41" s="90">
        <f>SUM(C34:C40)</f>
        <v>49053.25</v>
      </c>
      <c r="D41" s="90">
        <f>SUM(D34:D40)</f>
        <v>176591700</v>
      </c>
    </row>
    <row r="44" spans="1:7" x14ac:dyDescent="0.25">
      <c r="B44" s="68" t="s">
        <v>352</v>
      </c>
      <c r="C44" s="68" t="s">
        <v>353</v>
      </c>
      <c r="D44" s="68" t="s">
        <v>354</v>
      </c>
      <c r="E44" s="68" t="s">
        <v>355</v>
      </c>
      <c r="F44" s="68" t="s">
        <v>356</v>
      </c>
      <c r="G44" s="68" t="s">
        <v>357</v>
      </c>
    </row>
    <row r="45" spans="1:7" x14ac:dyDescent="0.25">
      <c r="B45" s="69" t="s">
        <v>312</v>
      </c>
      <c r="C45" s="69" t="s">
        <v>358</v>
      </c>
      <c r="D45" s="70" t="s">
        <v>359</v>
      </c>
      <c r="E45" s="69" t="s">
        <v>360</v>
      </c>
      <c r="F45" s="70" t="s">
        <v>361</v>
      </c>
      <c r="G45" s="71">
        <v>5532.54</v>
      </c>
    </row>
    <row r="46" spans="1:7" x14ac:dyDescent="0.25">
      <c r="B46" s="69"/>
      <c r="C46" s="69"/>
      <c r="D46" s="70" t="s">
        <v>362</v>
      </c>
      <c r="E46" s="69" t="s">
        <v>360</v>
      </c>
      <c r="F46" s="70" t="s">
        <v>361</v>
      </c>
      <c r="G46" s="71">
        <v>1871.82</v>
      </c>
    </row>
    <row r="47" spans="1:7" x14ac:dyDescent="0.25">
      <c r="B47" s="69"/>
      <c r="C47" s="69"/>
      <c r="D47" s="70" t="s">
        <v>363</v>
      </c>
      <c r="E47" s="69" t="s">
        <v>360</v>
      </c>
      <c r="F47" s="70" t="s">
        <v>361</v>
      </c>
      <c r="G47" s="71">
        <v>420.29</v>
      </c>
    </row>
    <row r="48" spans="1:7" x14ac:dyDescent="0.25">
      <c r="B48" s="69"/>
      <c r="C48" s="69" t="s">
        <v>364</v>
      </c>
      <c r="D48" s="70" t="s">
        <v>365</v>
      </c>
      <c r="E48" s="69" t="s">
        <v>360</v>
      </c>
      <c r="F48" s="70" t="s">
        <v>361</v>
      </c>
      <c r="G48" s="71">
        <v>1930.78</v>
      </c>
    </row>
    <row r="49" spans="2:7" x14ac:dyDescent="0.25">
      <c r="B49" s="69"/>
      <c r="C49" s="69"/>
      <c r="D49" s="70" t="s">
        <v>366</v>
      </c>
      <c r="E49" s="69" t="s">
        <v>360</v>
      </c>
      <c r="F49" s="70" t="s">
        <v>361</v>
      </c>
      <c r="G49" s="71">
        <v>5480.99</v>
      </c>
    </row>
    <row r="50" spans="2:7" x14ac:dyDescent="0.25">
      <c r="B50" s="69"/>
      <c r="C50" s="69"/>
      <c r="D50" s="70" t="s">
        <v>367</v>
      </c>
      <c r="E50" s="69" t="s">
        <v>360</v>
      </c>
      <c r="F50" s="70" t="s">
        <v>361</v>
      </c>
      <c r="G50" s="71">
        <v>1841.93</v>
      </c>
    </row>
    <row r="51" spans="2:7" x14ac:dyDescent="0.25">
      <c r="B51" s="69"/>
      <c r="C51" s="69"/>
      <c r="D51" s="70" t="s">
        <v>368</v>
      </c>
      <c r="E51" s="69" t="s">
        <v>360</v>
      </c>
      <c r="F51" s="70" t="s">
        <v>361</v>
      </c>
      <c r="G51" s="71">
        <v>1405.08</v>
      </c>
    </row>
    <row r="52" spans="2:7" x14ac:dyDescent="0.25">
      <c r="B52" s="69"/>
      <c r="C52" s="69"/>
      <c r="D52" s="70" t="s">
        <v>369</v>
      </c>
      <c r="E52" s="69" t="s">
        <v>360</v>
      </c>
      <c r="F52" s="70" t="s">
        <v>361</v>
      </c>
      <c r="G52" s="71">
        <v>807.68</v>
      </c>
    </row>
    <row r="53" spans="2:7" x14ac:dyDescent="0.25">
      <c r="B53" s="69"/>
      <c r="C53" s="69" t="s">
        <v>370</v>
      </c>
      <c r="D53" s="70" t="s">
        <v>371</v>
      </c>
      <c r="E53" s="69" t="s">
        <v>360</v>
      </c>
      <c r="F53" s="70" t="s">
        <v>361</v>
      </c>
      <c r="G53" s="71">
        <v>1338.84</v>
      </c>
    </row>
    <row r="54" spans="2:7" x14ac:dyDescent="0.25">
      <c r="B54" s="69"/>
      <c r="C54" s="69"/>
      <c r="D54" s="70" t="s">
        <v>372</v>
      </c>
      <c r="E54" s="69" t="s">
        <v>360</v>
      </c>
      <c r="F54" s="70" t="s">
        <v>361</v>
      </c>
      <c r="G54" s="71">
        <v>4587.57</v>
      </c>
    </row>
    <row r="55" spans="2:7" x14ac:dyDescent="0.25">
      <c r="B55" s="69"/>
      <c r="C55" s="69"/>
      <c r="D55" s="70" t="s">
        <v>373</v>
      </c>
      <c r="E55" s="69" t="s">
        <v>360</v>
      </c>
      <c r="F55" s="70" t="s">
        <v>361</v>
      </c>
      <c r="G55" s="71">
        <v>2322</v>
      </c>
    </row>
    <row r="56" spans="2:7" x14ac:dyDescent="0.25">
      <c r="B56" s="69"/>
      <c r="C56" s="69"/>
      <c r="D56" s="70" t="s">
        <v>374</v>
      </c>
      <c r="E56" s="69" t="s">
        <v>360</v>
      </c>
      <c r="F56" s="70" t="s">
        <v>361</v>
      </c>
      <c r="G56" s="71">
        <v>1580.75</v>
      </c>
    </row>
    <row r="57" spans="2:7" x14ac:dyDescent="0.25">
      <c r="B57" s="69"/>
      <c r="C57" s="69" t="s">
        <v>375</v>
      </c>
      <c r="D57" s="70" t="s">
        <v>376</v>
      </c>
      <c r="E57" s="69" t="s">
        <v>360</v>
      </c>
      <c r="F57" s="70" t="s">
        <v>361</v>
      </c>
      <c r="G57" s="71">
        <v>2471.7399999999998</v>
      </c>
    </row>
    <row r="58" spans="2:7" x14ac:dyDescent="0.25">
      <c r="B58" s="69"/>
      <c r="C58" s="69"/>
      <c r="D58" s="70" t="s">
        <v>377</v>
      </c>
      <c r="E58" s="69" t="s">
        <v>360</v>
      </c>
      <c r="F58" s="70" t="s">
        <v>361</v>
      </c>
      <c r="G58" s="71">
        <v>1917.3</v>
      </c>
    </row>
    <row r="59" spans="2:7" x14ac:dyDescent="0.25">
      <c r="B59" s="69"/>
      <c r="C59" s="69"/>
      <c r="D59" s="70" t="s">
        <v>378</v>
      </c>
      <c r="E59" s="69" t="s">
        <v>360</v>
      </c>
      <c r="F59" s="70" t="s">
        <v>361</v>
      </c>
      <c r="G59" s="71">
        <v>2000</v>
      </c>
    </row>
    <row r="60" spans="2:7" x14ac:dyDescent="0.25">
      <c r="B60" s="69"/>
      <c r="C60" s="69"/>
      <c r="D60" s="72" t="s">
        <v>379</v>
      </c>
      <c r="E60" s="73" t="s">
        <v>380</v>
      </c>
      <c r="F60" s="72" t="s">
        <v>381</v>
      </c>
      <c r="G60" s="72" t="s">
        <v>382</v>
      </c>
    </row>
    <row r="61" spans="2:7" x14ac:dyDescent="0.25">
      <c r="B61" s="69"/>
      <c r="C61" s="69"/>
      <c r="D61" s="70" t="s">
        <v>383</v>
      </c>
      <c r="E61" s="69" t="s">
        <v>360</v>
      </c>
      <c r="F61" s="70" t="s">
        <v>361</v>
      </c>
      <c r="G61" s="71">
        <v>483.03</v>
      </c>
    </row>
    <row r="62" spans="2:7" x14ac:dyDescent="0.25">
      <c r="B62" s="69" t="s">
        <v>384</v>
      </c>
      <c r="C62" s="69" t="s">
        <v>358</v>
      </c>
      <c r="D62" s="72" t="s">
        <v>319</v>
      </c>
      <c r="E62" s="73" t="s">
        <v>380</v>
      </c>
      <c r="F62" s="72" t="s">
        <v>320</v>
      </c>
      <c r="G62" s="72" t="s">
        <v>382</v>
      </c>
    </row>
    <row r="63" spans="2:7" x14ac:dyDescent="0.25">
      <c r="B63" s="69"/>
      <c r="C63" s="69"/>
      <c r="D63" s="70" t="s">
        <v>385</v>
      </c>
      <c r="E63" s="69" t="s">
        <v>360</v>
      </c>
      <c r="F63" s="70" t="s">
        <v>361</v>
      </c>
      <c r="G63" s="71">
        <v>8364.83</v>
      </c>
    </row>
    <row r="64" spans="2:7" x14ac:dyDescent="0.25">
      <c r="B64" s="69"/>
      <c r="C64" s="69"/>
      <c r="D64" s="72" t="s">
        <v>318</v>
      </c>
      <c r="E64" s="73" t="s">
        <v>380</v>
      </c>
      <c r="F64" s="72" t="s">
        <v>315</v>
      </c>
      <c r="G64" s="72" t="s">
        <v>382</v>
      </c>
    </row>
    <row r="65" spans="2:7" x14ac:dyDescent="0.25">
      <c r="B65" s="69"/>
      <c r="C65" s="69"/>
      <c r="D65" s="72" t="s">
        <v>314</v>
      </c>
      <c r="E65" s="73" t="s">
        <v>380</v>
      </c>
      <c r="F65" s="72" t="s">
        <v>315</v>
      </c>
      <c r="G65" s="72" t="s">
        <v>382</v>
      </c>
    </row>
    <row r="66" spans="2:7" x14ac:dyDescent="0.25">
      <c r="B66" s="69"/>
      <c r="C66" s="69"/>
      <c r="D66" s="72" t="s">
        <v>321</v>
      </c>
      <c r="E66" s="73" t="s">
        <v>380</v>
      </c>
      <c r="F66" s="72" t="s">
        <v>320</v>
      </c>
      <c r="G66" s="72" t="s">
        <v>382</v>
      </c>
    </row>
    <row r="67" spans="2:7" x14ac:dyDescent="0.25">
      <c r="B67" s="69"/>
      <c r="C67" s="69"/>
      <c r="D67" s="70" t="s">
        <v>386</v>
      </c>
      <c r="E67" s="69" t="s">
        <v>360</v>
      </c>
      <c r="F67" s="70" t="s">
        <v>361</v>
      </c>
      <c r="G67" s="71">
        <v>1289.08</v>
      </c>
    </row>
    <row r="68" spans="2:7" x14ac:dyDescent="0.25">
      <c r="B68" s="69"/>
      <c r="C68" s="69" t="s">
        <v>370</v>
      </c>
      <c r="D68" s="72" t="s">
        <v>317</v>
      </c>
      <c r="E68" s="73" t="s">
        <v>380</v>
      </c>
      <c r="F68" s="72" t="s">
        <v>315</v>
      </c>
      <c r="G68" s="72" t="s">
        <v>382</v>
      </c>
    </row>
    <row r="69" spans="2:7" x14ac:dyDescent="0.25">
      <c r="B69" s="69"/>
      <c r="C69" s="69" t="s">
        <v>375</v>
      </c>
      <c r="D69" s="70" t="s">
        <v>377</v>
      </c>
      <c r="E69" s="69" t="s">
        <v>360</v>
      </c>
      <c r="F69" s="70" t="s">
        <v>361</v>
      </c>
      <c r="G69" s="71">
        <v>3407</v>
      </c>
    </row>
    <row r="70" spans="2:7" x14ac:dyDescent="0.25">
      <c r="B70" s="68" t="s">
        <v>387</v>
      </c>
      <c r="C70" s="68"/>
      <c r="D70" s="68"/>
      <c r="E70" s="68"/>
      <c r="F70" s="68"/>
      <c r="G70" s="74">
        <v>49053.25</v>
      </c>
    </row>
  </sheetData>
  <autoFilter ref="A4:H30" xr:uid="{00000000-0001-0000-0A00-000000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9"/>
  <sheetViews>
    <sheetView showGridLines="0" topLeftCell="A18" zoomScaleNormal="100" workbookViewId="0">
      <selection activeCell="H3" sqref="H3"/>
    </sheetView>
  </sheetViews>
  <sheetFormatPr baseColWidth="10" defaultColWidth="8.5703125" defaultRowHeight="15" x14ac:dyDescent="0.25"/>
  <cols>
    <col min="1" max="1" width="40" customWidth="1"/>
    <col min="2" max="4" width="20" customWidth="1"/>
  </cols>
  <sheetData>
    <row r="1" spans="1:2" ht="18" customHeight="1" x14ac:dyDescent="0.3">
      <c r="A1" s="1" t="s">
        <v>322</v>
      </c>
    </row>
    <row r="3" spans="1:2" ht="15" customHeight="1" x14ac:dyDescent="0.25">
      <c r="A3" s="6" t="s">
        <v>323</v>
      </c>
    </row>
    <row r="5" spans="1:2" ht="15" customHeight="1" x14ac:dyDescent="0.25">
      <c r="A5" s="6" t="s">
        <v>324</v>
      </c>
    </row>
    <row r="6" spans="1:2" ht="15" customHeight="1" x14ac:dyDescent="0.25">
      <c r="A6" s="3" t="s">
        <v>74</v>
      </c>
      <c r="B6" s="3" t="s">
        <v>325</v>
      </c>
    </row>
    <row r="7" spans="1:2" ht="15" customHeight="1" x14ac:dyDescent="0.25">
      <c r="A7" s="93" t="s">
        <v>391</v>
      </c>
      <c r="B7" s="93" t="s">
        <v>392</v>
      </c>
    </row>
    <row r="8" spans="1:2" ht="15" customHeight="1" x14ac:dyDescent="0.25">
      <c r="A8" s="94" t="s">
        <v>326</v>
      </c>
      <c r="B8" s="95">
        <v>50</v>
      </c>
    </row>
    <row r="9" spans="1:2" ht="15" customHeight="1" x14ac:dyDescent="0.25">
      <c r="A9" s="94" t="s">
        <v>327</v>
      </c>
      <c r="B9" s="95">
        <v>415</v>
      </c>
    </row>
    <row r="10" spans="1:2" ht="15" customHeight="1" x14ac:dyDescent="0.25">
      <c r="A10" s="94" t="s">
        <v>328</v>
      </c>
      <c r="B10" s="95">
        <v>540</v>
      </c>
    </row>
    <row r="11" spans="1:2" ht="15" customHeight="1" x14ac:dyDescent="0.25">
      <c r="A11" s="94" t="s">
        <v>329</v>
      </c>
      <c r="B11" s="95">
        <v>375</v>
      </c>
    </row>
    <row r="12" spans="1:2" ht="15" customHeight="1" x14ac:dyDescent="0.25">
      <c r="A12" s="94" t="s">
        <v>330</v>
      </c>
      <c r="B12" s="95">
        <v>135</v>
      </c>
    </row>
    <row r="13" spans="1:2" ht="15" customHeight="1" x14ac:dyDescent="0.25">
      <c r="A13" s="94" t="s">
        <v>331</v>
      </c>
      <c r="B13" s="95">
        <v>120</v>
      </c>
    </row>
    <row r="14" spans="1:2" ht="15" customHeight="1" x14ac:dyDescent="0.25">
      <c r="A14" s="94" t="s">
        <v>332</v>
      </c>
      <c r="B14" s="95">
        <v>490</v>
      </c>
    </row>
    <row r="15" spans="1:2" ht="15" customHeight="1" x14ac:dyDescent="0.25">
      <c r="A15" s="94" t="s">
        <v>333</v>
      </c>
      <c r="B15" s="95">
        <v>420</v>
      </c>
    </row>
    <row r="16" spans="1:2" ht="15" customHeight="1" x14ac:dyDescent="0.25">
      <c r="A16" s="94" t="s">
        <v>334</v>
      </c>
      <c r="B16" s="95">
        <v>65</v>
      </c>
    </row>
    <row r="17" spans="1:2" ht="15" customHeight="1" x14ac:dyDescent="0.25">
      <c r="A17" s="94" t="s">
        <v>335</v>
      </c>
      <c r="B17" s="95">
        <v>715</v>
      </c>
    </row>
    <row r="18" spans="1:2" ht="15" customHeight="1" x14ac:dyDescent="0.25">
      <c r="A18" s="94" t="s">
        <v>336</v>
      </c>
      <c r="B18" s="95">
        <v>505</v>
      </c>
    </row>
    <row r="19" spans="1:2" ht="15" customHeight="1" x14ac:dyDescent="0.25">
      <c r="A19" s="94" t="s">
        <v>337</v>
      </c>
      <c r="B19" s="95">
        <v>1342</v>
      </c>
    </row>
    <row r="20" spans="1:2" ht="15" customHeight="1" x14ac:dyDescent="0.25">
      <c r="A20" s="94" t="s">
        <v>393</v>
      </c>
      <c r="B20" s="95">
        <v>2154</v>
      </c>
    </row>
    <row r="21" spans="1:2" ht="15" customHeight="1" x14ac:dyDescent="0.25">
      <c r="A21" s="94" t="s">
        <v>394</v>
      </c>
      <c r="B21" s="95">
        <v>1102</v>
      </c>
    </row>
    <row r="22" spans="1:2" ht="15" customHeight="1" x14ac:dyDescent="0.25">
      <c r="A22" s="94" t="s">
        <v>395</v>
      </c>
      <c r="B22" s="95">
        <v>1159</v>
      </c>
    </row>
    <row r="23" spans="1:2" ht="15" customHeight="1" x14ac:dyDescent="0.25">
      <c r="A23" s="94" t="s">
        <v>338</v>
      </c>
      <c r="B23" s="95">
        <v>705</v>
      </c>
    </row>
    <row r="24" spans="1:2" ht="15" customHeight="1" x14ac:dyDescent="0.25">
      <c r="A24" s="97" t="s">
        <v>339</v>
      </c>
      <c r="B24" s="98">
        <v>159</v>
      </c>
    </row>
    <row r="25" spans="1:2" ht="15" customHeight="1" x14ac:dyDescent="0.25">
      <c r="A25" s="97" t="s">
        <v>340</v>
      </c>
      <c r="B25" s="98">
        <v>298</v>
      </c>
    </row>
    <row r="26" spans="1:2" ht="15" customHeight="1" x14ac:dyDescent="0.25">
      <c r="A26" s="97" t="s">
        <v>396</v>
      </c>
      <c r="B26" s="98">
        <v>1110</v>
      </c>
    </row>
    <row r="27" spans="1:2" ht="15" customHeight="1" x14ac:dyDescent="0.25">
      <c r="A27" s="97" t="s">
        <v>397</v>
      </c>
      <c r="B27" s="98">
        <v>676</v>
      </c>
    </row>
    <row r="28" spans="1:2" ht="15" customHeight="1" x14ac:dyDescent="0.25">
      <c r="A28" s="97" t="s">
        <v>316</v>
      </c>
      <c r="B28" s="98">
        <v>370</v>
      </c>
    </row>
    <row r="29" spans="1:2" ht="15" customHeight="1" x14ac:dyDescent="0.25">
      <c r="A29" s="96" t="s">
        <v>387</v>
      </c>
      <c r="B29" s="93">
        <v>12905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"/>
  <sheetViews>
    <sheetView showGridLines="0" zoomScaleNormal="100" workbookViewId="0">
      <selection activeCell="A6" sqref="A6"/>
    </sheetView>
  </sheetViews>
  <sheetFormatPr baseColWidth="10" defaultColWidth="8.5703125" defaultRowHeight="15" x14ac:dyDescent="0.25"/>
  <cols>
    <col min="1" max="1" width="60" customWidth="1"/>
    <col min="2" max="4" width="20" customWidth="1"/>
  </cols>
  <sheetData>
    <row r="1" spans="1:1" ht="18" customHeight="1" x14ac:dyDescent="0.3">
      <c r="A1" s="1" t="s">
        <v>17</v>
      </c>
    </row>
    <row r="2" spans="1:1" ht="15" customHeight="1" x14ac:dyDescent="0.25">
      <c r="A2" s="2" t="s">
        <v>341</v>
      </c>
    </row>
    <row r="4" spans="1:1" ht="15" customHeight="1" x14ac:dyDescent="0.25">
      <c r="A4" s="2" t="s">
        <v>342</v>
      </c>
    </row>
    <row r="5" spans="1:1" ht="15" customHeight="1" x14ac:dyDescent="0.25">
      <c r="A5" s="2" t="s">
        <v>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HPE Instant On</vt:lpstr>
      <vt:lpstr>HPE Tarjeta</vt:lpstr>
      <vt:lpstr>HP</vt:lpstr>
      <vt:lpstr>ASUS</vt:lpstr>
      <vt:lpstr>Lenovo Tarjeta</vt:lpstr>
      <vt:lpstr>Lenovo Canales</vt:lpstr>
      <vt:lpstr>Microsoft</vt:lpstr>
      <vt:lpstr>Epson</vt:lpstr>
      <vt:lpstr>Intel</vt:lpstr>
      <vt:lpstr>Dell Rebates</vt:lpstr>
      <vt:lpstr>Dell MyRewards</vt:lpstr>
      <vt:lpstr>Zebra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Felipe Cardenas Rivera</cp:lastModifiedBy>
  <cp:revision>7</cp:revision>
  <dcterms:created xsi:type="dcterms:W3CDTF">2026-07-14T20:35:34Z</dcterms:created>
  <dcterms:modified xsi:type="dcterms:W3CDTF">2026-07-15T13:36:52Z</dcterms:modified>
  <dc:language>en-US</dc:language>
</cp:coreProperties>
</file>